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pc\dashboards\uganda-sales-dashboard\UGANDA\May\"/>
    </mc:Choice>
  </mc:AlternateContent>
  <bookViews>
    <workbookView xWindow="-120" yWindow="-120" windowWidth="20730" windowHeight="11160" activeTab="1"/>
  </bookViews>
  <sheets>
    <sheet name="MONEY REVEIVED" sheetId="1" r:id="rId1"/>
    <sheet name="ACTIVITY EXPENSES" sheetId="2" r:id="rId2"/>
    <sheet name="Other EXP" sheetId="3" r:id="rId3"/>
  </sheets>
  <definedNames>
    <definedName name="_xlnm._FilterDatabase" localSheetId="1" hidden="1">'ACTIVITY EXPENSES'!$A$2:$K$68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5" i="1"/>
  <c r="E6" i="1" l="1"/>
  <c r="D6" i="1" s="1"/>
</calcChain>
</file>

<file path=xl/sharedStrings.xml><?xml version="1.0" encoding="utf-8"?>
<sst xmlns="http://schemas.openxmlformats.org/spreadsheetml/2006/main" count="442" uniqueCount="183">
  <si>
    <t>Type</t>
  </si>
  <si>
    <t>Date</t>
  </si>
  <si>
    <t>Source / Description</t>
  </si>
  <si>
    <t>Amount (UGX)</t>
  </si>
  <si>
    <t>Amount (USD)</t>
  </si>
  <si>
    <t>Notes</t>
  </si>
  <si>
    <t>OPENING BALANCE</t>
  </si>
  <si>
    <t>RECEIVED</t>
  </si>
  <si>
    <t>SPENT</t>
  </si>
  <si>
    <t>BALANCE</t>
  </si>
  <si>
    <t>S.No</t>
  </si>
  <si>
    <t>Doctor Name</t>
  </si>
  <si>
    <t>Hospital / Pharmacy Name</t>
  </si>
  <si>
    <t>Speciality</t>
  </si>
  <si>
    <t>Products</t>
  </si>
  <si>
    <t>Contact Number</t>
  </si>
  <si>
    <t>Responsible</t>
  </si>
  <si>
    <t>Sales Outcome</t>
  </si>
  <si>
    <t>No. of Visits</t>
  </si>
  <si>
    <t>PHY</t>
  </si>
  <si>
    <t>PHARMACIST</t>
  </si>
  <si>
    <t xml:space="preserve">All products </t>
  </si>
  <si>
    <t>GP</t>
  </si>
  <si>
    <t>Country</t>
  </si>
  <si>
    <t>Details</t>
  </si>
  <si>
    <t>Comments</t>
  </si>
  <si>
    <t>Category</t>
  </si>
  <si>
    <t>UGANDA</t>
  </si>
  <si>
    <t>DR.AKINTE</t>
  </si>
  <si>
    <t>AMIRI</t>
  </si>
  <si>
    <t>ASIM</t>
  </si>
  <si>
    <t>ROSE MUHINDO</t>
  </si>
  <si>
    <t>URO</t>
  </si>
  <si>
    <t>ROBERT KALESUBLA</t>
  </si>
  <si>
    <t>GEORGE</t>
  </si>
  <si>
    <t>BRAIN BESEEZA</t>
  </si>
  <si>
    <t>SHO</t>
  </si>
  <si>
    <t>BRANDA</t>
  </si>
  <si>
    <t>NEPHR</t>
  </si>
  <si>
    <t>DR.EMMANEUL SSEKASNVU</t>
  </si>
  <si>
    <t>NEPHRO</t>
  </si>
  <si>
    <t>MARTHA</t>
  </si>
  <si>
    <t>MILTON</t>
  </si>
  <si>
    <t>MISAKI</t>
  </si>
  <si>
    <t>MOSES WAREN</t>
  </si>
  <si>
    <t xml:space="preserve">PREACIOUS </t>
  </si>
  <si>
    <t>RITAH</t>
  </si>
  <si>
    <t>RITAH NEPHRO</t>
  </si>
  <si>
    <t>ROSS MERY</t>
  </si>
  <si>
    <t>EMMESUAL SSEMEGERVE</t>
  </si>
  <si>
    <t>FATIMA ZOHA</t>
  </si>
  <si>
    <t>HADUS</t>
  </si>
  <si>
    <t>HUSSAIN</t>
  </si>
  <si>
    <t>FOMUM JHON</t>
  </si>
  <si>
    <t>DR.KABANDA</t>
  </si>
  <si>
    <t>KINETH</t>
  </si>
  <si>
    <t>RACHEAL</t>
  </si>
  <si>
    <t>SIMON</t>
  </si>
  <si>
    <t>AISHA</t>
  </si>
  <si>
    <t>MAHADEE</t>
  </si>
  <si>
    <t>MEACRY</t>
  </si>
  <si>
    <t>PASCAZIA</t>
  </si>
  <si>
    <t>PEACE</t>
  </si>
  <si>
    <t>POLLY LUBEGA</t>
  </si>
  <si>
    <t>TOM</t>
  </si>
  <si>
    <t>VIOLAH</t>
  </si>
  <si>
    <t>NEURO</t>
  </si>
  <si>
    <t>CAROLINE</t>
  </si>
  <si>
    <t>sho</t>
  </si>
  <si>
    <t xml:space="preserve">BioReno,Biomaxhp,Bioketon </t>
  </si>
  <si>
    <t xml:space="preserve">Bionerv,Biopeafort,Bioliver </t>
  </si>
  <si>
    <t xml:space="preserve">Bionerv,Bioliver,Biopeafort </t>
  </si>
  <si>
    <t>Bioketon,Bioreno,Biomaxhp</t>
  </si>
  <si>
    <t xml:space="preserve">Biopeafort,Bionerv,Bioliver </t>
  </si>
  <si>
    <t xml:space="preserve">Bioliver,Biopeafort,Bionerv </t>
  </si>
  <si>
    <t>CalD -k2,Linazee M ,Linazee 5</t>
  </si>
  <si>
    <t xml:space="preserve">Bionerv,Bioliver ,Bioprostate </t>
  </si>
  <si>
    <t xml:space="preserve">ROSS MUHINDO </t>
  </si>
  <si>
    <t>Bionerv,Biopeafort,,CalD-K2</t>
  </si>
  <si>
    <t>bioreno Bioliver  Bionerv  bioketon</t>
  </si>
  <si>
    <t>biopeaforte</t>
  </si>
  <si>
    <t>bioreno,Bioketone biomaxhp</t>
  </si>
  <si>
    <t>BioReno Bioketon Biopeafort Bioman</t>
  </si>
  <si>
    <t>bioliver bionerv</t>
  </si>
  <si>
    <t>Nakasero Hospital</t>
  </si>
  <si>
    <t>BioReno Bioketon</t>
  </si>
  <si>
    <t>bioreno, Bioketone, Biomaxhp</t>
  </si>
  <si>
    <t>uganda Referral</t>
  </si>
  <si>
    <t>DMA clinic</t>
  </si>
  <si>
    <t>Mbarara referral</t>
  </si>
  <si>
    <t>Kiruddu rrh</t>
  </si>
  <si>
    <t>fireca pharmacy</t>
  </si>
  <si>
    <t>NAKASERO HOSPITAL</t>
  </si>
  <si>
    <t>umc hospital</t>
  </si>
  <si>
    <t>KAMPALA CENTRAL</t>
  </si>
  <si>
    <t>Mbarara medical specialist</t>
  </si>
  <si>
    <t>KAYEAM ali</t>
  </si>
  <si>
    <t>kibuli</t>
  </si>
  <si>
    <t>bioman biinerv</t>
  </si>
  <si>
    <t>DRIVER BILL</t>
  </si>
  <si>
    <t>FUEL</t>
  </si>
  <si>
    <t>LBLS</t>
  </si>
  <si>
    <t>FOOD BILL</t>
  </si>
  <si>
    <t>Total activity expenses May 2026</t>
  </si>
  <si>
    <t>Closing balance end of May 2026</t>
  </si>
  <si>
    <t>Hotel stay</t>
  </si>
  <si>
    <t>OTHER EXPENSES — May 2026</t>
  </si>
  <si>
    <t>Kampala to Mbarara travelled</t>
  </si>
  <si>
    <t>Hotel stay at Mbarara</t>
  </si>
  <si>
    <t>MONEY RECEIVED — May 2026</t>
  </si>
  <si>
    <t>ACTIVITY EXPENSES —May 2026</t>
  </si>
  <si>
    <t>Opening blance balance from April 2026</t>
  </si>
  <si>
    <t>cme</t>
  </si>
  <si>
    <t>Activity Type</t>
  </si>
  <si>
    <t>CME</t>
  </si>
  <si>
    <t>Motivation</t>
  </si>
  <si>
    <t xml:space="preserve">Dr Kaliika Patrick </t>
  </si>
  <si>
    <t>Dr Rita Nakalega</t>
  </si>
  <si>
    <t>Dr Tonny Musoke</t>
  </si>
  <si>
    <t xml:space="preserve">Dr Nakireka Susan </t>
  </si>
  <si>
    <t xml:space="preserve">Dr Nakabugo Irene </t>
  </si>
  <si>
    <t>Dr Lutaaya Peter</t>
  </si>
  <si>
    <t xml:space="preserve">Dr Kyazze Andrew </t>
  </si>
  <si>
    <t>Dr Kabugo Deus</t>
  </si>
  <si>
    <t>Dr Barungi Pius</t>
  </si>
  <si>
    <t xml:space="preserve">Dr Agaba Gideon </t>
  </si>
  <si>
    <t xml:space="preserve">Platinum hospital </t>
  </si>
  <si>
    <t xml:space="preserve">Medipal Hospital </t>
  </si>
  <si>
    <t xml:space="preserve">Mulago National Hospital </t>
  </si>
  <si>
    <t xml:space="preserve">Mengo Hospital </t>
  </si>
  <si>
    <t xml:space="preserve">Nsambya Hospital </t>
  </si>
  <si>
    <t xml:space="preserve">Kampala Hospital </t>
  </si>
  <si>
    <t xml:space="preserve">Platinum Hospital </t>
  </si>
  <si>
    <t xml:space="preserve">Kiruddu hospital </t>
  </si>
  <si>
    <t>IHK</t>
  </si>
  <si>
    <t xml:space="preserve">Bioliver,Bioman, CalD-K2 </t>
  </si>
  <si>
    <t xml:space="preserve">Bioreno Bioketon CalD-K2 </t>
  </si>
  <si>
    <t xml:space="preserve">Bioreno Bioketon Bionerv </t>
  </si>
  <si>
    <t xml:space="preserve">LinazeeM, Linazee </t>
  </si>
  <si>
    <t xml:space="preserve">Bioketon, Bioreno </t>
  </si>
  <si>
    <t xml:space="preserve">Bioreno Bioketon Biopeafort </t>
  </si>
  <si>
    <t xml:space="preserve">Bioreno Bioketon </t>
  </si>
  <si>
    <t xml:space="preserve">Bioreno Bioketon Biomax Hp </t>
  </si>
  <si>
    <t xml:space="preserve">Bionerv, Bioliver </t>
  </si>
  <si>
    <t>Simon</t>
  </si>
  <si>
    <t>George</t>
  </si>
  <si>
    <t>Non CASH</t>
  </si>
  <si>
    <t xml:space="preserve">Mutoni Christine </t>
  </si>
  <si>
    <t>Sumbathai Bridget</t>
  </si>
  <si>
    <t>Semuko Godfrey</t>
  </si>
  <si>
    <t>Mpozza Sam</t>
  </si>
  <si>
    <t>Namawejje Sannyu</t>
  </si>
  <si>
    <t>Walugembe Fred</t>
  </si>
  <si>
    <t>Nayiga Amooti</t>
  </si>
  <si>
    <t>Mukasa George</t>
  </si>
  <si>
    <t>Kibilige Geofrey</t>
  </si>
  <si>
    <t>Nurse</t>
  </si>
  <si>
    <t>SPO</t>
  </si>
  <si>
    <t>physician</t>
  </si>
  <si>
    <t>N/O</t>
  </si>
  <si>
    <t xml:space="preserve">Public Health specialist </t>
  </si>
  <si>
    <t>MCO</t>
  </si>
  <si>
    <t>C/0</t>
  </si>
  <si>
    <t>KHC-IV</t>
  </si>
  <si>
    <t>Bio liver,Bio joint</t>
  </si>
  <si>
    <t>Linazee ,Linazee-M500,BioMan, Bio Prostrate</t>
  </si>
  <si>
    <t>Nshuti Anna</t>
  </si>
  <si>
    <t>Mulago RH</t>
  </si>
  <si>
    <t xml:space="preserve">Mulago </t>
  </si>
  <si>
    <t>Campaign</t>
  </si>
  <si>
    <t>Job Kuteesa</t>
  </si>
  <si>
    <t>Dr Ntambi</t>
  </si>
  <si>
    <t xml:space="preserve">Dr kikuba Godfrey </t>
  </si>
  <si>
    <t>Dr Male Musa</t>
  </si>
  <si>
    <t>Dr katantazi Abdulsalem</t>
  </si>
  <si>
    <t xml:space="preserve">Dr Asiimwe Joshua </t>
  </si>
  <si>
    <t xml:space="preserve">Dr kyanda M Philip </t>
  </si>
  <si>
    <t xml:space="preserve">Dr Mugisha Richard </t>
  </si>
  <si>
    <t>Dr Munyaga Byanjo</t>
  </si>
  <si>
    <t>Dr Kibera Luther</t>
  </si>
  <si>
    <t>Dr Mechanic Musubira</t>
  </si>
  <si>
    <t>Dr Zawedde Mary</t>
  </si>
  <si>
    <t>Dr Nabajjala Norah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</si>
</sst>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6" formatCode="[$UGX]\ #,##0.00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theme="1"/>
      <name val="Cambria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name val="Cambria"/>
      <family val="1"/>
    </font>
    <font>
      <b/>
      <sz val="11"/>
      <color rgb="FF000000"/>
      <name val="Times New Roman"/>
      <family val="1"/>
    </font>
    <font>
      <sz val="11"/>
      <color theme="1"/>
      <name val="Cambria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164" fontId="0" fillId="0" borderId="2" xfId="0" applyNumberFormat="1" applyBorder="1"/>
    <xf numFmtId="0" fontId="5" fillId="5" borderId="2" xfId="0" applyFont="1" applyFill="1" applyBorder="1" applyAlignment="1">
      <alignment horizontal="center" wrapText="1"/>
    </xf>
    <xf numFmtId="0" fontId="7" fillId="5" borderId="2" xfId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2" fontId="9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164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5" borderId="4" xfId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D3" sqref="D3"/>
    </sheetView>
  </sheetViews>
  <sheetFormatPr defaultRowHeight="15" x14ac:dyDescent="0.25"/>
  <cols>
    <col min="1" max="1" width="13.7109375" customWidth="1"/>
    <col min="2" max="2" width="21" customWidth="1"/>
    <col min="3" max="3" width="34.7109375" bestFit="1" customWidth="1"/>
    <col min="4" max="4" width="15" bestFit="1" customWidth="1"/>
    <col min="5" max="5" width="10.28515625" bestFit="1" customWidth="1"/>
  </cols>
  <sheetData>
    <row r="1" spans="1:12" x14ac:dyDescent="0.25">
      <c r="A1" s="32" t="s">
        <v>109</v>
      </c>
      <c r="B1" s="33"/>
      <c r="C1" s="33"/>
      <c r="D1" s="33"/>
      <c r="E1" s="33"/>
      <c r="F1" s="33"/>
    </row>
    <row r="2" spans="1:12" ht="2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2" ht="24" x14ac:dyDescent="0.25">
      <c r="A3" s="2" t="s">
        <v>6</v>
      </c>
      <c r="B3" s="3">
        <v>46143</v>
      </c>
      <c r="C3" s="2" t="s">
        <v>111</v>
      </c>
      <c r="D3" s="4">
        <f>E3*3650</f>
        <v>7548200</v>
      </c>
      <c r="E3" s="5">
        <v>2068</v>
      </c>
      <c r="F3" s="2"/>
      <c r="L3">
        <v>2000</v>
      </c>
    </row>
    <row r="4" spans="1:12" x14ac:dyDescent="0.25">
      <c r="A4" s="6" t="s">
        <v>7</v>
      </c>
      <c r="B4" s="7"/>
      <c r="C4" s="6"/>
      <c r="D4" s="8"/>
      <c r="E4" s="8"/>
      <c r="F4" s="6"/>
      <c r="L4">
        <v>893</v>
      </c>
    </row>
    <row r="5" spans="1:12" x14ac:dyDescent="0.25">
      <c r="A5" s="2" t="s">
        <v>8</v>
      </c>
      <c r="B5" s="7">
        <v>46172</v>
      </c>
      <c r="C5" s="2" t="s">
        <v>103</v>
      </c>
      <c r="D5" s="4">
        <f>E5*3650</f>
        <v>6310229.5</v>
      </c>
      <c r="E5" s="8">
        <v>1728.83</v>
      </c>
      <c r="F5" s="6"/>
    </row>
    <row r="6" spans="1:12" ht="15.75" x14ac:dyDescent="0.25">
      <c r="A6" s="2" t="s">
        <v>9</v>
      </c>
      <c r="B6" s="7">
        <v>46172</v>
      </c>
      <c r="C6" s="2" t="s">
        <v>104</v>
      </c>
      <c r="D6" s="4">
        <f>E6*3650</f>
        <v>1237970.5000000002</v>
      </c>
      <c r="E6" s="9">
        <f>E3-E5</f>
        <v>339.17000000000007</v>
      </c>
      <c r="F6" s="6"/>
    </row>
  </sheetData>
  <mergeCells count="1">
    <mergeCell ref="A1:F1"/>
  </mergeCells>
  <dataValidations count="1">
    <dataValidation type="list" sqref="A3:A6">
      <formula1>"OPENING BALANCE,RECEIVED,SPENT,BALANCE"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topLeftCell="A52" workbookViewId="0">
      <selection activeCell="H63" sqref="H63"/>
    </sheetView>
  </sheetViews>
  <sheetFormatPr defaultRowHeight="32.25" customHeight="1" x14ac:dyDescent="0.25"/>
  <cols>
    <col min="1" max="1" width="4.7109375" bestFit="1" customWidth="1"/>
    <col min="2" max="2" width="31.140625" customWidth="1"/>
    <col min="3" max="3" width="25" customWidth="1"/>
    <col min="4" max="4" width="24.7109375" customWidth="1"/>
    <col min="5" max="6" width="32.5703125" bestFit="1" customWidth="1"/>
    <col min="7" max="7" width="19.5703125" customWidth="1"/>
    <col min="8" max="8" width="14.140625" customWidth="1"/>
    <col min="9" max="9" width="15.5703125" customWidth="1"/>
    <col min="10" max="10" width="52" bestFit="1" customWidth="1"/>
    <col min="11" max="11" width="11.7109375" bestFit="1" customWidth="1"/>
  </cols>
  <sheetData>
    <row r="1" spans="1:12" ht="32.25" customHeight="1" x14ac:dyDescent="0.25">
      <c r="A1" s="34" t="s">
        <v>110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2" ht="32.25" customHeight="1" x14ac:dyDescent="0.25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113</v>
      </c>
      <c r="F2" s="10" t="s">
        <v>14</v>
      </c>
      <c r="G2" s="10" t="s">
        <v>4</v>
      </c>
      <c r="H2" s="10" t="s">
        <v>15</v>
      </c>
      <c r="I2" s="10" t="s">
        <v>16</v>
      </c>
      <c r="J2" s="6" t="s">
        <v>17</v>
      </c>
      <c r="K2" s="6" t="s">
        <v>18</v>
      </c>
    </row>
    <row r="3" spans="1:12" ht="32.25" customHeight="1" x14ac:dyDescent="0.25">
      <c r="A3" s="6">
        <v>1</v>
      </c>
      <c r="B3" s="22" t="s">
        <v>28</v>
      </c>
      <c r="C3" s="11" t="s">
        <v>89</v>
      </c>
      <c r="D3" s="8" t="s">
        <v>68</v>
      </c>
      <c r="E3" s="28" t="s">
        <v>114</v>
      </c>
      <c r="F3" s="11" t="s">
        <v>70</v>
      </c>
      <c r="G3" s="27">
        <v>13.835616438356164</v>
      </c>
      <c r="H3" s="11"/>
      <c r="I3" s="22" t="s">
        <v>56</v>
      </c>
      <c r="J3" s="37"/>
      <c r="K3" s="12">
        <v>0</v>
      </c>
      <c r="L3" s="30"/>
    </row>
    <row r="4" spans="1:12" ht="32.25" customHeight="1" x14ac:dyDescent="0.25">
      <c r="A4" s="6">
        <v>2</v>
      </c>
      <c r="B4" s="22" t="s">
        <v>29</v>
      </c>
      <c r="C4" s="11" t="s">
        <v>89</v>
      </c>
      <c r="D4" s="8" t="s">
        <v>68</v>
      </c>
      <c r="E4" s="28" t="s">
        <v>112</v>
      </c>
      <c r="F4" s="11" t="s">
        <v>70</v>
      </c>
      <c r="G4" s="27">
        <v>13.835616438356164</v>
      </c>
      <c r="H4" s="11"/>
      <c r="I4" s="22" t="s">
        <v>56</v>
      </c>
      <c r="J4" s="37"/>
      <c r="K4" s="12">
        <v>0</v>
      </c>
      <c r="L4" s="30"/>
    </row>
    <row r="5" spans="1:12" ht="32.25" customHeight="1" x14ac:dyDescent="0.25">
      <c r="A5" s="6">
        <v>3</v>
      </c>
      <c r="B5" s="22" t="s">
        <v>30</v>
      </c>
      <c r="C5" s="11" t="s">
        <v>89</v>
      </c>
      <c r="D5" s="8" t="s">
        <v>19</v>
      </c>
      <c r="E5" s="28" t="s">
        <v>112</v>
      </c>
      <c r="F5" s="11" t="s">
        <v>70</v>
      </c>
      <c r="G5" s="27">
        <v>13.835616438356164</v>
      </c>
      <c r="H5" s="11"/>
      <c r="I5" s="22" t="s">
        <v>56</v>
      </c>
      <c r="J5" s="37"/>
      <c r="K5" s="12">
        <v>0</v>
      </c>
      <c r="L5" s="30"/>
    </row>
    <row r="6" spans="1:12" ht="32.25" customHeight="1" x14ac:dyDescent="0.25">
      <c r="A6" s="8">
        <v>4</v>
      </c>
      <c r="B6" s="8" t="s">
        <v>116</v>
      </c>
      <c r="C6" s="8" t="s">
        <v>126</v>
      </c>
      <c r="D6" s="8" t="s">
        <v>19</v>
      </c>
      <c r="E6" s="28" t="s">
        <v>169</v>
      </c>
      <c r="F6" s="8" t="s">
        <v>135</v>
      </c>
      <c r="G6" s="27">
        <v>27.39</v>
      </c>
      <c r="H6" s="11"/>
      <c r="I6" s="8" t="s">
        <v>144</v>
      </c>
      <c r="J6" s="35">
        <v>200</v>
      </c>
      <c r="K6" s="12">
        <v>1</v>
      </c>
      <c r="L6" s="30"/>
    </row>
    <row r="7" spans="1:12" ht="32.25" customHeight="1" x14ac:dyDescent="0.25">
      <c r="A7" s="8">
        <v>5</v>
      </c>
      <c r="B7" s="8" t="s">
        <v>117</v>
      </c>
      <c r="C7" s="8" t="s">
        <v>127</v>
      </c>
      <c r="D7" s="8" t="s">
        <v>19</v>
      </c>
      <c r="E7" s="28" t="s">
        <v>169</v>
      </c>
      <c r="F7" s="8" t="s">
        <v>136</v>
      </c>
      <c r="G7" s="27">
        <v>27.39</v>
      </c>
      <c r="H7" s="11"/>
      <c r="I7" s="8" t="s">
        <v>145</v>
      </c>
      <c r="J7" s="35">
        <v>200</v>
      </c>
      <c r="K7" s="12">
        <v>2</v>
      </c>
      <c r="L7" s="30"/>
    </row>
    <row r="8" spans="1:12" ht="32.25" customHeight="1" x14ac:dyDescent="0.25">
      <c r="A8" s="8">
        <v>6</v>
      </c>
      <c r="B8" s="8" t="s">
        <v>118</v>
      </c>
      <c r="C8" s="8" t="s">
        <v>128</v>
      </c>
      <c r="D8" s="8" t="s">
        <v>19</v>
      </c>
      <c r="E8" s="28" t="s">
        <v>169</v>
      </c>
      <c r="F8" s="8" t="s">
        <v>137</v>
      </c>
      <c r="G8" s="27">
        <v>27.39</v>
      </c>
      <c r="H8" s="11"/>
      <c r="I8" s="8" t="s">
        <v>145</v>
      </c>
      <c r="J8" s="35">
        <v>200</v>
      </c>
      <c r="K8" s="12">
        <v>1</v>
      </c>
      <c r="L8" s="30"/>
    </row>
    <row r="9" spans="1:12" ht="32.25" customHeight="1" x14ac:dyDescent="0.25">
      <c r="A9" s="8">
        <v>7</v>
      </c>
      <c r="B9" s="8" t="s">
        <v>119</v>
      </c>
      <c r="C9" s="8" t="s">
        <v>129</v>
      </c>
      <c r="D9" s="8" t="s">
        <v>19</v>
      </c>
      <c r="E9" s="28" t="s">
        <v>169</v>
      </c>
      <c r="F9" s="8" t="s">
        <v>138</v>
      </c>
      <c r="G9" s="27">
        <v>27.39</v>
      </c>
      <c r="H9" s="11"/>
      <c r="I9" s="8" t="s">
        <v>144</v>
      </c>
      <c r="J9" s="35">
        <v>200</v>
      </c>
      <c r="K9" s="12">
        <v>4</v>
      </c>
      <c r="L9" s="30"/>
    </row>
    <row r="10" spans="1:12" ht="32.25" customHeight="1" x14ac:dyDescent="0.25">
      <c r="A10" s="8">
        <v>8</v>
      </c>
      <c r="B10" s="8" t="s">
        <v>120</v>
      </c>
      <c r="C10" s="8" t="s">
        <v>130</v>
      </c>
      <c r="D10" s="8" t="s">
        <v>19</v>
      </c>
      <c r="E10" s="28" t="s">
        <v>169</v>
      </c>
      <c r="F10" s="8" t="s">
        <v>139</v>
      </c>
      <c r="G10" s="27">
        <v>27.39</v>
      </c>
      <c r="H10" s="11"/>
      <c r="I10" s="8" t="s">
        <v>144</v>
      </c>
      <c r="J10" s="35">
        <v>200</v>
      </c>
      <c r="K10" s="12">
        <v>1</v>
      </c>
      <c r="L10" s="30"/>
    </row>
    <row r="11" spans="1:12" ht="32.25" customHeight="1" x14ac:dyDescent="0.25">
      <c r="A11" s="8">
        <v>9</v>
      </c>
      <c r="B11" s="8" t="s">
        <v>121</v>
      </c>
      <c r="C11" s="8" t="s">
        <v>131</v>
      </c>
      <c r="D11" s="8" t="s">
        <v>19</v>
      </c>
      <c r="E11" s="28" t="s">
        <v>169</v>
      </c>
      <c r="F11" s="8" t="s">
        <v>140</v>
      </c>
      <c r="G11" s="27">
        <v>27.39</v>
      </c>
      <c r="H11" s="11"/>
      <c r="I11" s="8" t="s">
        <v>145</v>
      </c>
      <c r="J11" s="35">
        <v>200</v>
      </c>
      <c r="K11" s="12">
        <v>2</v>
      </c>
      <c r="L11" s="30"/>
    </row>
    <row r="12" spans="1:12" ht="32.25" customHeight="1" x14ac:dyDescent="0.25">
      <c r="A12" s="8">
        <v>10</v>
      </c>
      <c r="B12" s="8" t="s">
        <v>122</v>
      </c>
      <c r="C12" s="8" t="s">
        <v>132</v>
      </c>
      <c r="D12" s="8" t="s">
        <v>19</v>
      </c>
      <c r="E12" s="28" t="s">
        <v>169</v>
      </c>
      <c r="F12" s="8" t="s">
        <v>140</v>
      </c>
      <c r="G12" s="27">
        <v>27.39</v>
      </c>
      <c r="H12" s="11"/>
      <c r="I12" s="8" t="s">
        <v>145</v>
      </c>
      <c r="J12" s="35">
        <v>200</v>
      </c>
      <c r="K12" s="12">
        <v>2</v>
      </c>
      <c r="L12" s="30"/>
    </row>
    <row r="13" spans="1:12" ht="32.25" customHeight="1" x14ac:dyDescent="0.25">
      <c r="A13" s="8">
        <v>11</v>
      </c>
      <c r="B13" s="8" t="s">
        <v>123</v>
      </c>
      <c r="C13" s="8" t="s">
        <v>129</v>
      </c>
      <c r="D13" s="8" t="s">
        <v>19</v>
      </c>
      <c r="E13" s="28" t="s">
        <v>169</v>
      </c>
      <c r="F13" s="8" t="s">
        <v>141</v>
      </c>
      <c r="G13" s="27">
        <v>27.39</v>
      </c>
      <c r="H13" s="11"/>
      <c r="I13" s="8" t="s">
        <v>145</v>
      </c>
      <c r="J13" s="35">
        <v>200</v>
      </c>
      <c r="K13" s="12">
        <v>0</v>
      </c>
      <c r="L13" s="30"/>
    </row>
    <row r="14" spans="1:12" ht="32.25" customHeight="1" x14ac:dyDescent="0.25">
      <c r="A14" s="8">
        <v>12</v>
      </c>
      <c r="B14" s="8" t="s">
        <v>124</v>
      </c>
      <c r="C14" s="8" t="s">
        <v>133</v>
      </c>
      <c r="D14" s="8" t="s">
        <v>19</v>
      </c>
      <c r="E14" s="28" t="s">
        <v>169</v>
      </c>
      <c r="F14" s="8" t="s">
        <v>142</v>
      </c>
      <c r="G14" s="27">
        <v>27.39</v>
      </c>
      <c r="H14" s="11"/>
      <c r="I14" s="8" t="s">
        <v>145</v>
      </c>
      <c r="J14" s="35">
        <v>200</v>
      </c>
      <c r="K14" s="12">
        <v>1</v>
      </c>
      <c r="L14" s="30"/>
    </row>
    <row r="15" spans="1:12" ht="32.25" customHeight="1" x14ac:dyDescent="0.25">
      <c r="A15" s="8">
        <v>13</v>
      </c>
      <c r="B15" s="8" t="s">
        <v>125</v>
      </c>
      <c r="C15" s="8" t="s">
        <v>134</v>
      </c>
      <c r="D15" s="8" t="s">
        <v>19</v>
      </c>
      <c r="E15" s="28" t="s">
        <v>169</v>
      </c>
      <c r="F15" s="8" t="s">
        <v>143</v>
      </c>
      <c r="G15" s="27">
        <v>27.39</v>
      </c>
      <c r="H15" s="11"/>
      <c r="I15" s="8" t="s">
        <v>58</v>
      </c>
      <c r="J15" s="35">
        <v>200</v>
      </c>
      <c r="K15" s="12">
        <v>3</v>
      </c>
      <c r="L15" s="30"/>
    </row>
    <row r="16" spans="1:12" ht="32.25" customHeight="1" x14ac:dyDescent="0.25">
      <c r="A16" s="6">
        <v>5</v>
      </c>
      <c r="B16" s="8" t="s">
        <v>31</v>
      </c>
      <c r="C16" s="11" t="s">
        <v>88</v>
      </c>
      <c r="D16" s="8" t="s">
        <v>22</v>
      </c>
      <c r="E16" s="22" t="s">
        <v>146</v>
      </c>
      <c r="F16" s="11" t="s">
        <v>69</v>
      </c>
      <c r="G16" s="27">
        <v>16.438356164383563</v>
      </c>
      <c r="H16" s="11"/>
      <c r="I16" s="22" t="s">
        <v>56</v>
      </c>
      <c r="J16" s="35">
        <v>400</v>
      </c>
      <c r="K16" s="12">
        <v>2</v>
      </c>
      <c r="L16" s="30"/>
    </row>
    <row r="17" spans="1:12" ht="32.25" customHeight="1" x14ac:dyDescent="0.25">
      <c r="A17" s="6">
        <v>6</v>
      </c>
      <c r="B17" s="8" t="s">
        <v>67</v>
      </c>
      <c r="C17" s="11" t="s">
        <v>89</v>
      </c>
      <c r="D17" s="8" t="s">
        <v>68</v>
      </c>
      <c r="E17" s="22" t="s">
        <v>114</v>
      </c>
      <c r="F17" s="11" t="s">
        <v>70</v>
      </c>
      <c r="G17" s="27">
        <v>13.835616438356164</v>
      </c>
      <c r="H17" s="11"/>
      <c r="I17" s="22" t="s">
        <v>56</v>
      </c>
      <c r="J17" s="37"/>
      <c r="K17" s="12">
        <v>3</v>
      </c>
      <c r="L17" s="30"/>
    </row>
    <row r="18" spans="1:12" ht="32.25" customHeight="1" x14ac:dyDescent="0.25">
      <c r="A18" s="6">
        <v>8</v>
      </c>
      <c r="B18" s="22" t="s">
        <v>33</v>
      </c>
      <c r="C18" s="11" t="s">
        <v>84</v>
      </c>
      <c r="D18" s="22" t="s">
        <v>38</v>
      </c>
      <c r="E18" s="22" t="s">
        <v>115</v>
      </c>
      <c r="F18" s="11" t="s">
        <v>85</v>
      </c>
      <c r="G18" s="27">
        <v>56.164383561643838</v>
      </c>
      <c r="H18" s="11"/>
      <c r="I18" s="22" t="s">
        <v>34</v>
      </c>
      <c r="J18" s="35">
        <v>400</v>
      </c>
      <c r="K18" s="12">
        <v>2</v>
      </c>
      <c r="L18" s="30"/>
    </row>
    <row r="19" spans="1:12" ht="32.25" customHeight="1" x14ac:dyDescent="0.25">
      <c r="A19" s="6">
        <v>9</v>
      </c>
      <c r="B19" s="22" t="s">
        <v>35</v>
      </c>
      <c r="C19" s="11" t="s">
        <v>89</v>
      </c>
      <c r="D19" s="22" t="s">
        <v>36</v>
      </c>
      <c r="E19" s="22" t="s">
        <v>114</v>
      </c>
      <c r="F19" s="11" t="s">
        <v>71</v>
      </c>
      <c r="G19" s="27">
        <v>13.835616438356164</v>
      </c>
      <c r="H19" s="11"/>
      <c r="I19" s="22" t="s">
        <v>56</v>
      </c>
      <c r="J19" s="37"/>
      <c r="K19" s="12">
        <v>2</v>
      </c>
      <c r="L19" s="30"/>
    </row>
    <row r="20" spans="1:12" ht="32.25" customHeight="1" x14ac:dyDescent="0.25">
      <c r="A20" s="6">
        <v>10</v>
      </c>
      <c r="B20" s="22" t="s">
        <v>37</v>
      </c>
      <c r="C20" s="22" t="s">
        <v>91</v>
      </c>
      <c r="D20" s="22" t="s">
        <v>20</v>
      </c>
      <c r="E20" s="22" t="s">
        <v>115</v>
      </c>
      <c r="F20" s="14" t="s">
        <v>21</v>
      </c>
      <c r="G20" s="27">
        <v>13.835616438356164</v>
      </c>
      <c r="H20" s="14"/>
      <c r="I20" s="22" t="s">
        <v>34</v>
      </c>
      <c r="J20" s="35">
        <v>500</v>
      </c>
      <c r="K20" s="15">
        <v>2</v>
      </c>
      <c r="L20" s="30"/>
    </row>
    <row r="21" spans="1:12" ht="32.25" customHeight="1" x14ac:dyDescent="0.25">
      <c r="A21" s="6">
        <v>11</v>
      </c>
      <c r="B21" s="8" t="s">
        <v>39</v>
      </c>
      <c r="C21" s="11" t="s">
        <v>90</v>
      </c>
      <c r="D21" s="8" t="s">
        <v>40</v>
      </c>
      <c r="E21" s="22" t="s">
        <v>115</v>
      </c>
      <c r="F21" s="11" t="s">
        <v>83</v>
      </c>
      <c r="G21" s="27">
        <v>14.794520547945206</v>
      </c>
      <c r="H21" s="11"/>
      <c r="I21" s="22" t="s">
        <v>34</v>
      </c>
      <c r="J21" s="35">
        <v>1500</v>
      </c>
      <c r="K21" s="12">
        <v>4</v>
      </c>
      <c r="L21" s="30"/>
    </row>
    <row r="22" spans="1:12" ht="32.25" customHeight="1" x14ac:dyDescent="0.25">
      <c r="A22" s="6">
        <v>12</v>
      </c>
      <c r="B22" s="22" t="s">
        <v>41</v>
      </c>
      <c r="C22" s="11" t="s">
        <v>89</v>
      </c>
      <c r="D22" s="22" t="s">
        <v>36</v>
      </c>
      <c r="E22" s="22" t="s">
        <v>114</v>
      </c>
      <c r="F22" s="11" t="s">
        <v>70</v>
      </c>
      <c r="G22" s="27">
        <v>13.835616438356164</v>
      </c>
      <c r="H22" s="11"/>
      <c r="I22" s="22" t="s">
        <v>56</v>
      </c>
      <c r="J22" s="37"/>
      <c r="K22" s="12">
        <v>0</v>
      </c>
      <c r="L22" s="30"/>
    </row>
    <row r="23" spans="1:12" ht="32.25" customHeight="1" x14ac:dyDescent="0.25">
      <c r="A23" s="6">
        <v>13</v>
      </c>
      <c r="B23" s="22" t="s">
        <v>42</v>
      </c>
      <c r="C23" s="11" t="s">
        <v>89</v>
      </c>
      <c r="D23" s="22" t="s">
        <v>36</v>
      </c>
      <c r="E23" s="22" t="s">
        <v>114</v>
      </c>
      <c r="F23" s="11" t="s">
        <v>70</v>
      </c>
      <c r="G23" s="25">
        <v>13.835616438356164</v>
      </c>
      <c r="H23" s="16"/>
      <c r="I23" s="22" t="s">
        <v>56</v>
      </c>
      <c r="J23" s="37"/>
      <c r="K23" s="12">
        <v>0</v>
      </c>
      <c r="L23" s="31"/>
    </row>
    <row r="24" spans="1:12" ht="32.25" customHeight="1" x14ac:dyDescent="0.25">
      <c r="A24" s="6">
        <v>14</v>
      </c>
      <c r="B24" s="22" t="s">
        <v>43</v>
      </c>
      <c r="C24" s="11" t="s">
        <v>89</v>
      </c>
      <c r="D24" s="22" t="s">
        <v>36</v>
      </c>
      <c r="E24" s="22" t="s">
        <v>114</v>
      </c>
      <c r="F24" s="11" t="s">
        <v>72</v>
      </c>
      <c r="G24" s="25">
        <v>13.835616438356164</v>
      </c>
      <c r="H24" s="16"/>
      <c r="I24" s="22" t="s">
        <v>56</v>
      </c>
      <c r="J24" s="37"/>
      <c r="K24" s="8">
        <v>2</v>
      </c>
      <c r="L24" s="31"/>
    </row>
    <row r="25" spans="1:12" ht="32.25" customHeight="1" x14ac:dyDescent="0.25">
      <c r="A25" s="6">
        <v>15</v>
      </c>
      <c r="B25" s="22" t="s">
        <v>44</v>
      </c>
      <c r="C25" s="11" t="s">
        <v>89</v>
      </c>
      <c r="D25" s="22" t="s">
        <v>36</v>
      </c>
      <c r="E25" s="22" t="s">
        <v>114</v>
      </c>
      <c r="F25" s="11" t="s">
        <v>70</v>
      </c>
      <c r="G25" s="25">
        <v>13.835616438356164</v>
      </c>
      <c r="H25" s="16"/>
      <c r="I25" s="22" t="s">
        <v>56</v>
      </c>
      <c r="J25" s="37"/>
      <c r="K25" s="12">
        <v>0</v>
      </c>
      <c r="L25" s="31"/>
    </row>
    <row r="26" spans="1:12" ht="32.25" customHeight="1" x14ac:dyDescent="0.25">
      <c r="A26" s="6">
        <v>16</v>
      </c>
      <c r="B26" s="22" t="s">
        <v>45</v>
      </c>
      <c r="C26" s="11" t="s">
        <v>87</v>
      </c>
      <c r="D26" s="22" t="s">
        <v>19</v>
      </c>
      <c r="E26" s="22" t="s">
        <v>114</v>
      </c>
      <c r="F26" s="11" t="s">
        <v>73</v>
      </c>
      <c r="G26" s="25">
        <v>27.671232876712327</v>
      </c>
      <c r="H26" s="16"/>
      <c r="I26" s="22" t="s">
        <v>56</v>
      </c>
      <c r="J26" s="37"/>
      <c r="K26" s="8">
        <v>1</v>
      </c>
      <c r="L26" s="31"/>
    </row>
    <row r="27" spans="1:12" ht="32.25" customHeight="1" x14ac:dyDescent="0.25">
      <c r="A27" s="6">
        <v>17</v>
      </c>
      <c r="B27" s="22" t="s">
        <v>46</v>
      </c>
      <c r="C27" s="11" t="s">
        <v>89</v>
      </c>
      <c r="D27" s="22" t="s">
        <v>36</v>
      </c>
      <c r="E27" s="22" t="s">
        <v>114</v>
      </c>
      <c r="F27" s="11" t="s">
        <v>74</v>
      </c>
      <c r="G27" s="25">
        <v>13.835616438356164</v>
      </c>
      <c r="H27" s="16"/>
      <c r="I27" s="22" t="s">
        <v>56</v>
      </c>
      <c r="J27" s="37"/>
      <c r="K27" s="8">
        <v>2</v>
      </c>
      <c r="L27" s="31"/>
    </row>
    <row r="28" spans="1:12" ht="32.25" customHeight="1" x14ac:dyDescent="0.25">
      <c r="A28" s="6">
        <v>18</v>
      </c>
      <c r="B28" s="22" t="s">
        <v>47</v>
      </c>
      <c r="C28" s="11" t="s">
        <v>92</v>
      </c>
      <c r="D28" s="22" t="s">
        <v>40</v>
      </c>
      <c r="E28" s="22" t="s">
        <v>115</v>
      </c>
      <c r="F28" s="11" t="s">
        <v>86</v>
      </c>
      <c r="G28" s="25">
        <v>11.095890410958905</v>
      </c>
      <c r="H28" s="16"/>
      <c r="I28" s="22" t="s">
        <v>34</v>
      </c>
      <c r="J28" s="38">
        <v>500</v>
      </c>
      <c r="K28" s="8">
        <v>2</v>
      </c>
      <c r="L28" s="31"/>
    </row>
    <row r="29" spans="1:12" ht="32.25" customHeight="1" x14ac:dyDescent="0.25">
      <c r="A29" s="6">
        <v>19</v>
      </c>
      <c r="B29" s="22" t="s">
        <v>48</v>
      </c>
      <c r="C29" s="11" t="s">
        <v>89</v>
      </c>
      <c r="D29" s="22" t="s">
        <v>36</v>
      </c>
      <c r="E29" s="22" t="s">
        <v>114</v>
      </c>
      <c r="F29" s="11" t="s">
        <v>70</v>
      </c>
      <c r="G29" s="25">
        <v>13.835616438356164</v>
      </c>
      <c r="H29" s="16"/>
      <c r="I29" s="22" t="s">
        <v>56</v>
      </c>
      <c r="J29" s="37"/>
      <c r="K29" s="12">
        <v>0</v>
      </c>
      <c r="L29" s="31"/>
    </row>
    <row r="30" spans="1:12" ht="32.25" customHeight="1" x14ac:dyDescent="0.25">
      <c r="A30" s="6">
        <v>20</v>
      </c>
      <c r="B30" s="22" t="s">
        <v>49</v>
      </c>
      <c r="C30" s="11" t="s">
        <v>90</v>
      </c>
      <c r="D30" s="8" t="s">
        <v>40</v>
      </c>
      <c r="E30" s="22" t="s">
        <v>115</v>
      </c>
      <c r="F30" s="11" t="s">
        <v>83</v>
      </c>
      <c r="G30" s="24">
        <v>55.06849315068493</v>
      </c>
      <c r="H30" s="16"/>
      <c r="I30" s="22" t="s">
        <v>58</v>
      </c>
      <c r="J30" s="38">
        <v>1500</v>
      </c>
      <c r="K30" s="12">
        <v>0</v>
      </c>
      <c r="L30" s="31"/>
    </row>
    <row r="31" spans="1:12" ht="32.25" customHeight="1" x14ac:dyDescent="0.25">
      <c r="A31" s="6">
        <v>21</v>
      </c>
      <c r="B31" s="22" t="s">
        <v>50</v>
      </c>
      <c r="C31" s="11" t="s">
        <v>93</v>
      </c>
      <c r="D31" s="22" t="s">
        <v>19</v>
      </c>
      <c r="E31" s="22" t="s">
        <v>115</v>
      </c>
      <c r="F31" s="11" t="s">
        <v>82</v>
      </c>
      <c r="G31" s="24">
        <v>41.369863013698627</v>
      </c>
      <c r="H31" s="16"/>
      <c r="I31" s="22" t="s">
        <v>34</v>
      </c>
      <c r="J31" s="38">
        <v>200</v>
      </c>
      <c r="K31" s="8">
        <v>2</v>
      </c>
      <c r="L31" s="31"/>
    </row>
    <row r="32" spans="1:12" ht="32.25" customHeight="1" x14ac:dyDescent="0.25">
      <c r="A32" s="6">
        <v>22</v>
      </c>
      <c r="B32" s="22" t="s">
        <v>51</v>
      </c>
      <c r="C32" s="11" t="s">
        <v>89</v>
      </c>
      <c r="D32" s="22" t="s">
        <v>36</v>
      </c>
      <c r="E32" s="22" t="s">
        <v>114</v>
      </c>
      <c r="F32" s="11" t="s">
        <v>70</v>
      </c>
      <c r="G32" s="24">
        <v>13.835616438356164</v>
      </c>
      <c r="H32" s="16"/>
      <c r="I32" s="22" t="s">
        <v>56</v>
      </c>
      <c r="J32" s="37"/>
      <c r="K32" s="12">
        <v>0</v>
      </c>
      <c r="L32" s="31"/>
    </row>
    <row r="33" spans="1:12" ht="32.25" customHeight="1" x14ac:dyDescent="0.25">
      <c r="A33" s="6">
        <v>23</v>
      </c>
      <c r="B33" s="22" t="s">
        <v>52</v>
      </c>
      <c r="C33" s="11" t="s">
        <v>94</v>
      </c>
      <c r="D33" s="22" t="s">
        <v>66</v>
      </c>
      <c r="E33" s="22" t="s">
        <v>115</v>
      </c>
      <c r="F33" s="11" t="s">
        <v>80</v>
      </c>
      <c r="G33" s="25">
        <v>9.205479452054794</v>
      </c>
      <c r="H33" s="16"/>
      <c r="I33" s="22" t="s">
        <v>57</v>
      </c>
      <c r="J33" s="36"/>
      <c r="K33" s="8">
        <v>1</v>
      </c>
      <c r="L33" s="31"/>
    </row>
    <row r="34" spans="1:12" ht="32.25" customHeight="1" x14ac:dyDescent="0.25">
      <c r="A34" s="6">
        <v>24</v>
      </c>
      <c r="B34" s="22" t="s">
        <v>53</v>
      </c>
      <c r="C34" s="11" t="s">
        <v>93</v>
      </c>
      <c r="D34" s="22" t="s">
        <v>19</v>
      </c>
      <c r="E34" s="22" t="s">
        <v>115</v>
      </c>
      <c r="F34" s="11" t="s">
        <v>81</v>
      </c>
      <c r="G34" s="25">
        <v>82.465753424657535</v>
      </c>
      <c r="H34" s="16"/>
      <c r="I34" s="22" t="s">
        <v>34</v>
      </c>
      <c r="J34" s="36">
        <v>300</v>
      </c>
      <c r="K34" s="8">
        <v>2</v>
      </c>
      <c r="L34" s="31"/>
    </row>
    <row r="35" spans="1:12" ht="32.25" customHeight="1" x14ac:dyDescent="0.25">
      <c r="A35" s="6">
        <v>25</v>
      </c>
      <c r="B35" s="22" t="s">
        <v>54</v>
      </c>
      <c r="C35" s="11" t="s">
        <v>95</v>
      </c>
      <c r="D35" s="22" t="s">
        <v>19</v>
      </c>
      <c r="E35" s="22" t="s">
        <v>114</v>
      </c>
      <c r="F35" s="17" t="s">
        <v>75</v>
      </c>
      <c r="G35" s="25">
        <v>34.246575342465754</v>
      </c>
      <c r="H35" s="16"/>
      <c r="I35" s="22" t="s">
        <v>56</v>
      </c>
      <c r="J35" s="36">
        <v>500</v>
      </c>
      <c r="K35" s="8">
        <v>2</v>
      </c>
      <c r="L35" s="31"/>
    </row>
    <row r="36" spans="1:12" ht="32.25" customHeight="1" x14ac:dyDescent="0.25">
      <c r="A36" s="6">
        <v>26</v>
      </c>
      <c r="B36" s="22" t="s">
        <v>96</v>
      </c>
      <c r="C36" s="11" t="s">
        <v>97</v>
      </c>
      <c r="D36" s="22" t="s">
        <v>19</v>
      </c>
      <c r="E36" s="22" t="s">
        <v>115</v>
      </c>
      <c r="F36" s="11" t="s">
        <v>98</v>
      </c>
      <c r="G36" s="25">
        <v>55.06849315068493</v>
      </c>
      <c r="H36" s="16"/>
      <c r="I36" s="22" t="s">
        <v>58</v>
      </c>
      <c r="J36" s="36">
        <v>300</v>
      </c>
      <c r="K36" s="8">
        <v>2</v>
      </c>
      <c r="L36" s="31"/>
    </row>
    <row r="37" spans="1:12" ht="32.25" customHeight="1" x14ac:dyDescent="0.25">
      <c r="A37" s="6">
        <v>27</v>
      </c>
      <c r="B37" s="22" t="s">
        <v>55</v>
      </c>
      <c r="C37" s="11" t="s">
        <v>87</v>
      </c>
      <c r="D37" s="22" t="s">
        <v>36</v>
      </c>
      <c r="E37" s="22" t="s">
        <v>114</v>
      </c>
      <c r="F37" s="11" t="s">
        <v>70</v>
      </c>
      <c r="G37" s="25">
        <v>13.835616438356164</v>
      </c>
      <c r="H37" s="16"/>
      <c r="I37" s="22" t="s">
        <v>56</v>
      </c>
      <c r="J37" s="37"/>
      <c r="K37" s="12">
        <v>0</v>
      </c>
      <c r="L37" s="31"/>
    </row>
    <row r="38" spans="1:12" ht="15" x14ac:dyDescent="0.25">
      <c r="A38" s="6">
        <v>28</v>
      </c>
      <c r="B38" s="22" t="s">
        <v>59</v>
      </c>
      <c r="C38" s="11" t="s">
        <v>90</v>
      </c>
      <c r="D38" s="22" t="s">
        <v>19</v>
      </c>
      <c r="E38" s="22" t="s">
        <v>115</v>
      </c>
      <c r="F38" s="11" t="s">
        <v>83</v>
      </c>
      <c r="G38" s="25">
        <v>55.06849315068493</v>
      </c>
      <c r="H38" s="16"/>
      <c r="I38" s="22" t="s">
        <v>58</v>
      </c>
      <c r="J38" s="36">
        <v>1500</v>
      </c>
      <c r="K38" s="8">
        <v>4</v>
      </c>
      <c r="L38" s="31"/>
    </row>
    <row r="39" spans="1:12" ht="32.25" customHeight="1" x14ac:dyDescent="0.25">
      <c r="A39" s="6">
        <v>29</v>
      </c>
      <c r="B39" s="22" t="s">
        <v>60</v>
      </c>
      <c r="C39" s="11" t="s">
        <v>87</v>
      </c>
      <c r="D39" s="22" t="s">
        <v>36</v>
      </c>
      <c r="E39" s="22" t="s">
        <v>114</v>
      </c>
      <c r="F39" s="11" t="s">
        <v>70</v>
      </c>
      <c r="G39" s="25">
        <v>13.835616438356164</v>
      </c>
      <c r="H39" s="16"/>
      <c r="I39" s="22" t="s">
        <v>56</v>
      </c>
      <c r="J39" s="37"/>
      <c r="K39" s="12">
        <v>0</v>
      </c>
      <c r="L39" s="31"/>
    </row>
    <row r="40" spans="1:12" ht="32.25" customHeight="1" x14ac:dyDescent="0.25">
      <c r="A40" s="6">
        <v>30</v>
      </c>
      <c r="B40" s="22" t="s">
        <v>61</v>
      </c>
      <c r="C40" s="11" t="s">
        <v>87</v>
      </c>
      <c r="D40" s="22" t="s">
        <v>36</v>
      </c>
      <c r="E40" s="22" t="s">
        <v>114</v>
      </c>
      <c r="F40" s="11" t="s">
        <v>70</v>
      </c>
      <c r="G40" s="25">
        <v>13.835616438356164</v>
      </c>
      <c r="H40" s="16"/>
      <c r="I40" s="22" t="s">
        <v>56</v>
      </c>
      <c r="J40" s="37"/>
      <c r="K40" s="12">
        <v>0</v>
      </c>
      <c r="L40" s="31"/>
    </row>
    <row r="41" spans="1:12" ht="32.25" customHeight="1" x14ac:dyDescent="0.25">
      <c r="A41" s="6">
        <v>31</v>
      </c>
      <c r="B41" s="22" t="s">
        <v>62</v>
      </c>
      <c r="C41" s="11" t="s">
        <v>87</v>
      </c>
      <c r="D41" s="22" t="s">
        <v>36</v>
      </c>
      <c r="E41" s="22" t="s">
        <v>114</v>
      </c>
      <c r="F41" s="11" t="s">
        <v>70</v>
      </c>
      <c r="G41" s="25">
        <v>13.835616438356164</v>
      </c>
      <c r="H41" s="16"/>
      <c r="I41" s="22" t="s">
        <v>56</v>
      </c>
      <c r="J41" s="37"/>
      <c r="K41" s="12">
        <v>0</v>
      </c>
      <c r="L41" s="31"/>
    </row>
    <row r="42" spans="1:12" ht="32.25" customHeight="1" x14ac:dyDescent="0.25">
      <c r="A42" s="6">
        <v>32</v>
      </c>
      <c r="B42" s="22" t="s">
        <v>63</v>
      </c>
      <c r="C42" s="11" t="s">
        <v>87</v>
      </c>
      <c r="D42" s="22" t="s">
        <v>36</v>
      </c>
      <c r="E42" s="22" t="s">
        <v>114</v>
      </c>
      <c r="F42" s="8" t="s">
        <v>76</v>
      </c>
      <c r="G42" s="27">
        <v>13.835616438356164</v>
      </c>
      <c r="H42" s="8"/>
      <c r="I42" s="22" t="s">
        <v>56</v>
      </c>
      <c r="J42" s="37"/>
      <c r="K42" s="8">
        <v>2</v>
      </c>
      <c r="L42" s="30"/>
    </row>
    <row r="43" spans="1:12" ht="32.25" customHeight="1" x14ac:dyDescent="0.25">
      <c r="A43" s="6">
        <v>33</v>
      </c>
      <c r="B43" s="22" t="s">
        <v>77</v>
      </c>
      <c r="C43" s="11" t="s">
        <v>88</v>
      </c>
      <c r="D43" s="22" t="s">
        <v>40</v>
      </c>
      <c r="E43" s="22" t="s">
        <v>146</v>
      </c>
      <c r="F43" s="11" t="s">
        <v>69</v>
      </c>
      <c r="G43" s="27">
        <v>21.917808219178081</v>
      </c>
      <c r="H43" s="8"/>
      <c r="I43" s="22" t="s">
        <v>56</v>
      </c>
      <c r="J43" s="36">
        <v>1200</v>
      </c>
      <c r="K43" s="8">
        <v>1</v>
      </c>
      <c r="L43" s="30"/>
    </row>
    <row r="44" spans="1:12" ht="32.25" customHeight="1" x14ac:dyDescent="0.25">
      <c r="A44" s="6">
        <v>34</v>
      </c>
      <c r="B44" s="22" t="s">
        <v>64</v>
      </c>
      <c r="C44" s="11" t="s">
        <v>89</v>
      </c>
      <c r="D44" s="22" t="s">
        <v>36</v>
      </c>
      <c r="E44" s="28" t="s">
        <v>112</v>
      </c>
      <c r="F44" s="8" t="s">
        <v>78</v>
      </c>
      <c r="G44" s="27">
        <v>13.835616438356164</v>
      </c>
      <c r="H44" s="8"/>
      <c r="I44" s="22" t="s">
        <v>56</v>
      </c>
      <c r="J44" s="37"/>
      <c r="K44" s="12">
        <v>0</v>
      </c>
      <c r="L44" s="30"/>
    </row>
    <row r="45" spans="1:12" ht="32.25" customHeight="1" x14ac:dyDescent="0.25">
      <c r="A45" s="6">
        <v>35</v>
      </c>
      <c r="B45" s="22" t="s">
        <v>65</v>
      </c>
      <c r="C45" s="11" t="s">
        <v>89</v>
      </c>
      <c r="D45" s="22" t="s">
        <v>36</v>
      </c>
      <c r="E45" s="28" t="s">
        <v>112</v>
      </c>
      <c r="F45" s="8" t="s">
        <v>79</v>
      </c>
      <c r="G45" s="27">
        <v>13.835616438356164</v>
      </c>
      <c r="H45" s="8"/>
      <c r="I45" s="22" t="s">
        <v>56</v>
      </c>
      <c r="J45" s="37"/>
      <c r="K45" s="8">
        <v>6</v>
      </c>
      <c r="L45" s="30"/>
    </row>
    <row r="46" spans="1:12" ht="32.25" customHeight="1" x14ac:dyDescent="0.25">
      <c r="A46" s="6">
        <v>36</v>
      </c>
      <c r="B46" s="8" t="s">
        <v>147</v>
      </c>
      <c r="C46" s="8" t="s">
        <v>156</v>
      </c>
      <c r="D46" s="8" t="s">
        <v>163</v>
      </c>
      <c r="E46" s="22" t="s">
        <v>112</v>
      </c>
      <c r="F46" s="8" t="s">
        <v>164</v>
      </c>
      <c r="G46" s="24">
        <v>6.74</v>
      </c>
      <c r="H46" s="8"/>
      <c r="I46" s="22" t="s">
        <v>144</v>
      </c>
      <c r="J46" s="35"/>
      <c r="K46" s="12">
        <v>0</v>
      </c>
      <c r="L46" s="30"/>
    </row>
    <row r="47" spans="1:12" ht="32.25" customHeight="1" x14ac:dyDescent="0.25">
      <c r="A47" s="6"/>
      <c r="B47" s="8" t="s">
        <v>148</v>
      </c>
      <c r="C47" s="8" t="s">
        <v>156</v>
      </c>
      <c r="D47" s="8" t="s">
        <v>163</v>
      </c>
      <c r="E47" s="22" t="s">
        <v>112</v>
      </c>
      <c r="F47" s="8" t="s">
        <v>164</v>
      </c>
      <c r="G47" s="24">
        <v>6.74</v>
      </c>
      <c r="H47" s="6"/>
      <c r="I47" s="22" t="s">
        <v>144</v>
      </c>
      <c r="J47" s="35"/>
      <c r="K47" s="12">
        <v>0</v>
      </c>
    </row>
    <row r="48" spans="1:12" ht="32.25" customHeight="1" x14ac:dyDescent="0.25">
      <c r="A48" s="6"/>
      <c r="B48" s="8" t="s">
        <v>149</v>
      </c>
      <c r="C48" s="8" t="s">
        <v>157</v>
      </c>
      <c r="D48" s="8" t="s">
        <v>163</v>
      </c>
      <c r="E48" s="22" t="s">
        <v>112</v>
      </c>
      <c r="F48" s="8" t="s">
        <v>164</v>
      </c>
      <c r="G48" s="24">
        <v>6.74</v>
      </c>
      <c r="H48" s="6"/>
      <c r="I48" s="22" t="s">
        <v>144</v>
      </c>
      <c r="J48" s="35"/>
      <c r="K48" s="12">
        <v>0</v>
      </c>
    </row>
    <row r="49" spans="1:11" ht="32.25" customHeight="1" x14ac:dyDescent="0.25">
      <c r="A49" s="6"/>
      <c r="B49" s="8" t="s">
        <v>150</v>
      </c>
      <c r="C49" s="8" t="s">
        <v>158</v>
      </c>
      <c r="D49" s="8" t="s">
        <v>163</v>
      </c>
      <c r="E49" s="22" t="s">
        <v>112</v>
      </c>
      <c r="F49" s="8" t="s">
        <v>164</v>
      </c>
      <c r="G49" s="24">
        <v>6.74</v>
      </c>
      <c r="H49" s="6"/>
      <c r="I49" s="22" t="s">
        <v>144</v>
      </c>
      <c r="J49" s="35">
        <v>50</v>
      </c>
      <c r="K49" s="8">
        <v>3</v>
      </c>
    </row>
    <row r="50" spans="1:11" ht="32.25" customHeight="1" x14ac:dyDescent="0.25">
      <c r="A50" s="6"/>
      <c r="B50" s="8" t="s">
        <v>151</v>
      </c>
      <c r="C50" s="8" t="s">
        <v>159</v>
      </c>
      <c r="D50" s="8" t="s">
        <v>163</v>
      </c>
      <c r="E50" s="22" t="s">
        <v>112</v>
      </c>
      <c r="F50" s="8" t="s">
        <v>164</v>
      </c>
      <c r="G50" s="24">
        <v>6.74</v>
      </c>
      <c r="H50" s="6"/>
      <c r="I50" s="22" t="s">
        <v>144</v>
      </c>
      <c r="J50" s="35"/>
      <c r="K50" s="12">
        <v>0</v>
      </c>
    </row>
    <row r="51" spans="1:11" ht="32.25" customHeight="1" x14ac:dyDescent="0.25">
      <c r="A51" s="6"/>
      <c r="B51" s="8" t="s">
        <v>152</v>
      </c>
      <c r="C51" s="8" t="s">
        <v>160</v>
      </c>
      <c r="D51" s="8" t="s">
        <v>163</v>
      </c>
      <c r="E51" s="22" t="s">
        <v>112</v>
      </c>
      <c r="F51" s="8" t="s">
        <v>164</v>
      </c>
      <c r="G51" s="24">
        <v>6.74</v>
      </c>
      <c r="H51" s="6"/>
      <c r="I51" s="22" t="s">
        <v>144</v>
      </c>
      <c r="J51" s="35">
        <v>50</v>
      </c>
      <c r="K51" s="8">
        <v>3</v>
      </c>
    </row>
    <row r="52" spans="1:11" ht="32.25" customHeight="1" x14ac:dyDescent="0.25">
      <c r="A52" s="6"/>
      <c r="B52" s="8" t="s">
        <v>153</v>
      </c>
      <c r="C52" s="8" t="s">
        <v>161</v>
      </c>
      <c r="D52" s="8" t="s">
        <v>163</v>
      </c>
      <c r="E52" s="22" t="s">
        <v>112</v>
      </c>
      <c r="F52" s="8" t="s">
        <v>164</v>
      </c>
      <c r="G52" s="24">
        <v>6.74</v>
      </c>
      <c r="H52" s="6"/>
      <c r="I52" s="22" t="s">
        <v>144</v>
      </c>
      <c r="J52" s="35"/>
      <c r="K52" s="12">
        <v>0</v>
      </c>
    </row>
    <row r="53" spans="1:11" ht="32.25" customHeight="1" x14ac:dyDescent="0.25">
      <c r="A53" s="6"/>
      <c r="B53" s="8" t="s">
        <v>154</v>
      </c>
      <c r="C53" s="8" t="s">
        <v>161</v>
      </c>
      <c r="D53" s="8" t="s">
        <v>163</v>
      </c>
      <c r="E53" s="22" t="s">
        <v>112</v>
      </c>
      <c r="F53" s="8" t="s">
        <v>164</v>
      </c>
      <c r="G53" s="24">
        <v>6.74</v>
      </c>
      <c r="H53" s="6"/>
      <c r="I53" s="22" t="s">
        <v>144</v>
      </c>
      <c r="J53" s="35"/>
      <c r="K53" s="12">
        <v>0</v>
      </c>
    </row>
    <row r="54" spans="1:11" ht="32.25" customHeight="1" x14ac:dyDescent="0.25">
      <c r="A54" s="6"/>
      <c r="B54" s="8" t="s">
        <v>155</v>
      </c>
      <c r="C54" s="8" t="s">
        <v>162</v>
      </c>
      <c r="D54" s="8" t="s">
        <v>163</v>
      </c>
      <c r="E54" s="22" t="s">
        <v>112</v>
      </c>
      <c r="F54" s="8" t="s">
        <v>164</v>
      </c>
      <c r="G54" s="24">
        <v>6.74</v>
      </c>
      <c r="H54" s="6"/>
      <c r="I54" s="22" t="s">
        <v>144</v>
      </c>
      <c r="J54" s="35"/>
      <c r="K54" s="12">
        <v>0</v>
      </c>
    </row>
    <row r="55" spans="1:11" ht="32.25" customHeight="1" x14ac:dyDescent="0.25">
      <c r="A55" s="6"/>
      <c r="B55" s="8" t="s">
        <v>170</v>
      </c>
      <c r="C55" s="8" t="s">
        <v>32</v>
      </c>
      <c r="D55" s="29" t="s">
        <v>167</v>
      </c>
      <c r="E55" s="22" t="s">
        <v>112</v>
      </c>
      <c r="F55" s="11" t="s">
        <v>165</v>
      </c>
      <c r="G55" s="27">
        <v>4.38</v>
      </c>
      <c r="H55" s="6"/>
      <c r="I55" s="22" t="s">
        <v>145</v>
      </c>
      <c r="J55" s="35">
        <v>300</v>
      </c>
      <c r="K55" s="12">
        <v>1</v>
      </c>
    </row>
    <row r="56" spans="1:11" ht="32.25" customHeight="1" x14ac:dyDescent="0.25">
      <c r="A56" s="6"/>
      <c r="B56" s="8" t="s">
        <v>171</v>
      </c>
      <c r="C56" s="8" t="s">
        <v>32</v>
      </c>
      <c r="D56" s="29" t="s">
        <v>168</v>
      </c>
      <c r="E56" s="22" t="s">
        <v>112</v>
      </c>
      <c r="F56" s="11" t="s">
        <v>165</v>
      </c>
      <c r="G56" s="27">
        <v>4.38</v>
      </c>
      <c r="H56" s="6"/>
      <c r="I56" s="22" t="s">
        <v>145</v>
      </c>
      <c r="J56" s="35"/>
      <c r="K56" s="12">
        <v>0</v>
      </c>
    </row>
    <row r="57" spans="1:11" ht="32.25" customHeight="1" x14ac:dyDescent="0.25">
      <c r="A57" s="6"/>
      <c r="B57" s="8" t="s">
        <v>172</v>
      </c>
      <c r="C57" s="8" t="s">
        <v>32</v>
      </c>
      <c r="D57" s="29" t="s">
        <v>168</v>
      </c>
      <c r="E57" s="22" t="s">
        <v>112</v>
      </c>
      <c r="F57" s="11" t="s">
        <v>165</v>
      </c>
      <c r="G57" s="27">
        <v>4.38</v>
      </c>
      <c r="H57" s="6"/>
      <c r="I57" s="22" t="s">
        <v>145</v>
      </c>
      <c r="J57" s="35"/>
      <c r="K57" s="12">
        <v>0</v>
      </c>
    </row>
    <row r="58" spans="1:11" ht="32.25" customHeight="1" x14ac:dyDescent="0.25">
      <c r="A58" s="6"/>
      <c r="B58" s="8" t="s">
        <v>173</v>
      </c>
      <c r="C58" s="8" t="s">
        <v>32</v>
      </c>
      <c r="D58" s="29" t="s">
        <v>168</v>
      </c>
      <c r="E58" s="22" t="s">
        <v>112</v>
      </c>
      <c r="F58" s="11" t="s">
        <v>165</v>
      </c>
      <c r="G58" s="27">
        <v>4.38</v>
      </c>
      <c r="H58" s="6"/>
      <c r="I58" s="22" t="s">
        <v>145</v>
      </c>
      <c r="J58" s="35"/>
      <c r="K58" s="12">
        <v>0</v>
      </c>
    </row>
    <row r="59" spans="1:11" ht="32.25" customHeight="1" x14ac:dyDescent="0.25">
      <c r="A59" s="6"/>
      <c r="B59" s="8" t="s">
        <v>174</v>
      </c>
      <c r="C59" s="8" t="s">
        <v>32</v>
      </c>
      <c r="D59" s="29" t="s">
        <v>168</v>
      </c>
      <c r="E59" s="22" t="s">
        <v>112</v>
      </c>
      <c r="F59" s="11" t="s">
        <v>165</v>
      </c>
      <c r="G59" s="27">
        <v>4.38</v>
      </c>
      <c r="H59" s="6"/>
      <c r="I59" s="22" t="s">
        <v>145</v>
      </c>
      <c r="J59" s="35"/>
      <c r="K59" s="12">
        <v>0</v>
      </c>
    </row>
    <row r="60" spans="1:11" ht="32.25" customHeight="1" x14ac:dyDescent="0.25">
      <c r="A60" s="6"/>
      <c r="B60" s="8" t="s">
        <v>175</v>
      </c>
      <c r="C60" s="8" t="s">
        <v>32</v>
      </c>
      <c r="D60" s="29" t="s">
        <v>168</v>
      </c>
      <c r="E60" s="22" t="s">
        <v>112</v>
      </c>
      <c r="F60" s="11" t="s">
        <v>165</v>
      </c>
      <c r="G60" s="27">
        <v>4.38</v>
      </c>
      <c r="H60" s="6"/>
      <c r="I60" s="22" t="s">
        <v>145</v>
      </c>
      <c r="J60" s="35"/>
      <c r="K60" s="12">
        <v>0</v>
      </c>
    </row>
    <row r="61" spans="1:11" ht="32.25" customHeight="1" x14ac:dyDescent="0.25">
      <c r="A61" s="6"/>
      <c r="B61" s="8" t="s">
        <v>176</v>
      </c>
      <c r="C61" s="8" t="s">
        <v>32</v>
      </c>
      <c r="D61" s="29" t="s">
        <v>168</v>
      </c>
      <c r="E61" s="22" t="s">
        <v>112</v>
      </c>
      <c r="F61" s="11" t="s">
        <v>165</v>
      </c>
      <c r="G61" s="27">
        <v>4.38</v>
      </c>
      <c r="H61" s="6"/>
      <c r="I61" s="22" t="s">
        <v>145</v>
      </c>
      <c r="J61" s="35"/>
      <c r="K61" s="12">
        <v>0</v>
      </c>
    </row>
    <row r="62" spans="1:11" ht="32.25" customHeight="1" x14ac:dyDescent="0.25">
      <c r="A62" s="6"/>
      <c r="B62" s="8" t="s">
        <v>177</v>
      </c>
      <c r="C62" s="8" t="s">
        <v>32</v>
      </c>
      <c r="D62" s="29" t="s">
        <v>168</v>
      </c>
      <c r="E62" s="22" t="s">
        <v>112</v>
      </c>
      <c r="F62" s="11" t="s">
        <v>165</v>
      </c>
      <c r="G62" s="27">
        <v>4.38</v>
      </c>
      <c r="H62" s="6"/>
      <c r="I62" s="22" t="s">
        <v>145</v>
      </c>
      <c r="J62" s="35">
        <v>300</v>
      </c>
      <c r="K62" s="12">
        <v>2</v>
      </c>
    </row>
    <row r="63" spans="1:11" ht="32.25" customHeight="1" x14ac:dyDescent="0.25">
      <c r="A63" s="6"/>
      <c r="B63" s="8" t="s">
        <v>178</v>
      </c>
      <c r="C63" s="8" t="s">
        <v>32</v>
      </c>
      <c r="D63" s="29" t="s">
        <v>168</v>
      </c>
      <c r="E63" s="22" t="s">
        <v>112</v>
      </c>
      <c r="F63" s="11" t="s">
        <v>165</v>
      </c>
      <c r="G63" s="27">
        <v>4.38</v>
      </c>
      <c r="H63" s="6"/>
      <c r="I63" s="22" t="s">
        <v>145</v>
      </c>
      <c r="J63" s="35"/>
      <c r="K63" s="12">
        <v>0</v>
      </c>
    </row>
    <row r="64" spans="1:11" ht="32.25" customHeight="1" x14ac:dyDescent="0.25">
      <c r="A64" s="6"/>
      <c r="B64" s="8" t="s">
        <v>179</v>
      </c>
      <c r="C64" s="8" t="s">
        <v>32</v>
      </c>
      <c r="D64" s="29" t="s">
        <v>168</v>
      </c>
      <c r="E64" s="22" t="s">
        <v>112</v>
      </c>
      <c r="F64" s="11" t="s">
        <v>165</v>
      </c>
      <c r="G64" s="27">
        <v>4.38</v>
      </c>
      <c r="H64" s="6"/>
      <c r="I64" s="22" t="s">
        <v>145</v>
      </c>
      <c r="J64" s="35"/>
      <c r="K64" s="12">
        <v>0</v>
      </c>
    </row>
    <row r="65" spans="1:11" ht="32.25" customHeight="1" x14ac:dyDescent="0.25">
      <c r="A65" s="6"/>
      <c r="B65" s="8" t="s">
        <v>180</v>
      </c>
      <c r="C65" s="8" t="s">
        <v>32</v>
      </c>
      <c r="D65" s="29" t="s">
        <v>168</v>
      </c>
      <c r="E65" s="22" t="s">
        <v>112</v>
      </c>
      <c r="F65" s="11" t="s">
        <v>165</v>
      </c>
      <c r="G65" s="27">
        <v>4.38</v>
      </c>
      <c r="H65" s="6"/>
      <c r="I65" s="22" t="s">
        <v>145</v>
      </c>
      <c r="J65" s="35">
        <v>300</v>
      </c>
      <c r="K65" s="12">
        <v>1</v>
      </c>
    </row>
    <row r="66" spans="1:11" ht="32.25" customHeight="1" x14ac:dyDescent="0.25">
      <c r="A66" s="6"/>
      <c r="B66" s="8" t="s">
        <v>181</v>
      </c>
      <c r="C66" s="8" t="s">
        <v>32</v>
      </c>
      <c r="D66" s="29" t="s">
        <v>168</v>
      </c>
      <c r="E66" s="22" t="s">
        <v>112</v>
      </c>
      <c r="F66" s="11" t="s">
        <v>165</v>
      </c>
      <c r="G66" s="27">
        <v>4.38</v>
      </c>
      <c r="H66" s="6"/>
      <c r="I66" s="22" t="s">
        <v>145</v>
      </c>
      <c r="J66" s="35"/>
      <c r="K66" s="12">
        <v>0</v>
      </c>
    </row>
    <row r="67" spans="1:11" ht="32.25" customHeight="1" x14ac:dyDescent="0.25">
      <c r="A67" s="6"/>
      <c r="B67" s="8" t="s">
        <v>182</v>
      </c>
      <c r="C67" s="8" t="s">
        <v>32</v>
      </c>
      <c r="D67" s="29" t="s">
        <v>168</v>
      </c>
      <c r="E67" s="22" t="s">
        <v>112</v>
      </c>
      <c r="F67" s="11" t="s">
        <v>165</v>
      </c>
      <c r="G67" s="27">
        <v>4.38</v>
      </c>
      <c r="H67" s="6"/>
      <c r="I67" s="22" t="s">
        <v>145</v>
      </c>
      <c r="J67" s="35"/>
      <c r="K67" s="12">
        <v>0</v>
      </c>
    </row>
    <row r="68" spans="1:11" ht="32.25" customHeight="1" x14ac:dyDescent="0.25">
      <c r="A68" s="6"/>
      <c r="B68" s="8" t="s">
        <v>166</v>
      </c>
      <c r="C68" s="8" t="s">
        <v>32</v>
      </c>
      <c r="D68" s="29" t="s">
        <v>168</v>
      </c>
      <c r="E68" s="22" t="s">
        <v>112</v>
      </c>
      <c r="F68" s="11" t="s">
        <v>165</v>
      </c>
      <c r="G68" s="27">
        <v>4.38</v>
      </c>
      <c r="H68" s="6"/>
      <c r="I68" s="22" t="s">
        <v>145</v>
      </c>
      <c r="J68" s="35">
        <v>900</v>
      </c>
      <c r="K68" s="12">
        <v>0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C3" sqref="C3:C7"/>
    </sheetView>
  </sheetViews>
  <sheetFormatPr defaultRowHeight="15" x14ac:dyDescent="0.25"/>
  <cols>
    <col min="3" max="3" width="22.28515625" bestFit="1" customWidth="1"/>
    <col min="6" max="6" width="84.140625" customWidth="1"/>
    <col min="7" max="7" width="29" bestFit="1" customWidth="1"/>
  </cols>
  <sheetData>
    <row r="1" spans="1:7" x14ac:dyDescent="0.25">
      <c r="A1" s="32" t="s">
        <v>106</v>
      </c>
      <c r="B1" s="33"/>
      <c r="C1" s="33"/>
      <c r="D1" s="33"/>
      <c r="E1" s="33"/>
      <c r="F1" s="33"/>
      <c r="G1" s="33"/>
    </row>
    <row r="2" spans="1:7" ht="24" x14ac:dyDescent="0.25">
      <c r="A2" s="1" t="s">
        <v>10</v>
      </c>
      <c r="B2" s="1" t="s">
        <v>23</v>
      </c>
      <c r="C2" s="1" t="s">
        <v>24</v>
      </c>
      <c r="D2" s="1" t="s">
        <v>3</v>
      </c>
      <c r="E2" s="1" t="s">
        <v>4</v>
      </c>
      <c r="F2" s="1" t="s">
        <v>25</v>
      </c>
      <c r="G2" s="1" t="s">
        <v>26</v>
      </c>
    </row>
    <row r="3" spans="1:7" x14ac:dyDescent="0.25">
      <c r="A3" s="6">
        <v>1</v>
      </c>
      <c r="B3" s="6" t="s">
        <v>27</v>
      </c>
      <c r="C3" s="23" t="s">
        <v>99</v>
      </c>
      <c r="D3" s="18"/>
      <c r="E3" s="13">
        <v>41.095890410958901</v>
      </c>
      <c r="F3" s="19"/>
      <c r="G3" s="6"/>
    </row>
    <row r="4" spans="1:7" x14ac:dyDescent="0.25">
      <c r="A4" s="6">
        <v>2</v>
      </c>
      <c r="B4" s="6" t="s">
        <v>27</v>
      </c>
      <c r="C4" s="6" t="s">
        <v>100</v>
      </c>
      <c r="D4" s="18"/>
      <c r="E4" s="13">
        <v>138.00794520547944</v>
      </c>
      <c r="F4" s="20" t="s">
        <v>107</v>
      </c>
      <c r="G4" s="6"/>
    </row>
    <row r="5" spans="1:7" x14ac:dyDescent="0.25">
      <c r="A5" s="6">
        <v>3</v>
      </c>
      <c r="B5" s="6" t="s">
        <v>27</v>
      </c>
      <c r="C5" s="26" t="s">
        <v>101</v>
      </c>
      <c r="D5" s="18"/>
      <c r="E5" s="24">
        <v>131.50684931506851</v>
      </c>
      <c r="F5" s="20"/>
      <c r="G5" s="6"/>
    </row>
    <row r="6" spans="1:7" x14ac:dyDescent="0.25">
      <c r="A6" s="6">
        <v>4</v>
      </c>
      <c r="B6" s="6" t="s">
        <v>27</v>
      </c>
      <c r="C6" s="19" t="s">
        <v>105</v>
      </c>
      <c r="D6" s="18"/>
      <c r="E6" s="24">
        <v>147.94520547945206</v>
      </c>
      <c r="F6" s="20" t="s">
        <v>108</v>
      </c>
      <c r="G6" s="6"/>
    </row>
    <row r="7" spans="1:7" x14ac:dyDescent="0.25">
      <c r="A7" s="6">
        <v>5</v>
      </c>
      <c r="B7" s="6" t="s">
        <v>27</v>
      </c>
      <c r="C7" s="19" t="s">
        <v>102</v>
      </c>
      <c r="D7" s="18"/>
      <c r="E7" s="24">
        <v>116.98630136986301</v>
      </c>
      <c r="F7" s="19"/>
      <c r="G7" s="6"/>
    </row>
    <row r="8" spans="1:7" x14ac:dyDescent="0.25">
      <c r="A8" s="6"/>
      <c r="B8" s="6"/>
      <c r="C8" s="19"/>
      <c r="D8" s="18"/>
      <c r="E8" s="21"/>
      <c r="F8" s="19"/>
      <c r="G8" s="6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MONEY REVEIVED</vt:lpstr>
      <vt:lpstr>ACTIVITY EXPENSES</vt:lpstr>
      <vt:lpstr>Other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pc</cp:lastModifiedBy>
  <dcterms:created xsi:type="dcterms:W3CDTF">2026-06-08T06:01:59Z</dcterms:created>
  <dcterms:modified xsi:type="dcterms:W3CDTF">2026-06-24T12:49:46Z</dcterms:modified>
</cp:coreProperties>
</file>