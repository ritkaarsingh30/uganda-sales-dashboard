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  and weekly report\Uganda\may for razy\"/>
    </mc:Choice>
  </mc:AlternateContent>
  <xr:revisionPtr revIDLastSave="0" documentId="13_ncr:1_{1002C1E1-F4DE-4265-B2E2-383D802EEFC3}" xr6:coauthVersionLast="47" xr6:coauthVersionMax="47" xr10:uidLastSave="{00000000-0000-0000-0000-000000000000}"/>
  <bookViews>
    <workbookView xWindow="-120" yWindow="-120" windowWidth="20730" windowHeight="11160" xr2:uid="{3CCCC844-CB1E-4A03-9237-5A2C2DD44BAF}"/>
  </bookViews>
  <sheets>
    <sheet name="MR" sheetId="1" r:id="rId1"/>
    <sheet name="Budget ANALYSI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N8" i="1"/>
  <c r="N4" i="1"/>
  <c r="N5" i="1"/>
  <c r="N6" i="1"/>
  <c r="N7" i="1"/>
  <c r="N3" i="1"/>
</calcChain>
</file>

<file path=xl/sharedStrings.xml><?xml version="1.0" encoding="utf-8"?>
<sst xmlns="http://schemas.openxmlformats.org/spreadsheetml/2006/main" count="143" uniqueCount="86">
  <si>
    <t>S.No</t>
  </si>
  <si>
    <t>Delegate Name</t>
  </si>
  <si>
    <t>Territory</t>
  </si>
  <si>
    <t>Non Prescriber
Calls</t>
  </si>
  <si>
    <t>Prescriber
Calls</t>
  </si>
  <si>
    <t>Drs
Converted</t>
  </si>
  <si>
    <t>Total Calls</t>
  </si>
  <si>
    <t>Pharmacy
Calls</t>
  </si>
  <si>
    <t>Days
Target</t>
  </si>
  <si>
    <t>Days
Worked</t>
  </si>
  <si>
    <t>Avg Calls
Per Day</t>
  </si>
  <si>
    <t>Total Orders
(EUR)</t>
  </si>
  <si>
    <t>CTC
(USD)</t>
  </si>
  <si>
    <t>MBALANGU GEORGE</t>
  </si>
  <si>
    <t>KAMPALA</t>
  </si>
  <si>
    <t>Aisha S</t>
  </si>
  <si>
    <t>KRIDDU</t>
  </si>
  <si>
    <t>Simon Nduggu</t>
  </si>
  <si>
    <t>MENGO</t>
  </si>
  <si>
    <t>AKANKUNDA Rachelle</t>
  </si>
  <si>
    <t>MBARARA</t>
  </si>
  <si>
    <t>Okodi Daniel</t>
  </si>
  <si>
    <t>DELEGATE PERFORMANCE —May 2026</t>
  </si>
  <si>
    <t>DR IN LIST</t>
  </si>
  <si>
    <t>Listed DR Covered</t>
  </si>
  <si>
    <t>% DR Covered as per List</t>
  </si>
  <si>
    <t>Sarvesh Mallah</t>
  </si>
  <si>
    <t>Doctor / Contact</t>
  </si>
  <si>
    <t>Area / Hospital</t>
  </si>
  <si>
    <t>Responsible MR</t>
  </si>
  <si>
    <t>Amount (UGX)</t>
  </si>
  <si>
    <t>BUDGET ANALYSIS — May 2026</t>
  </si>
  <si>
    <t>DR.AKINTE</t>
  </si>
  <si>
    <t>AMIRI</t>
  </si>
  <si>
    <t>ASIM</t>
  </si>
  <si>
    <t>PHYDAY</t>
  </si>
  <si>
    <t>ROSE MUHINDO</t>
  </si>
  <si>
    <t>CAROLINE</t>
  </si>
  <si>
    <t>CME URO MULAGO</t>
  </si>
  <si>
    <t>ROBERT KALESUBLA</t>
  </si>
  <si>
    <t>BRAIN BESEEZA</t>
  </si>
  <si>
    <t>BRANDA</t>
  </si>
  <si>
    <t>DR.EMMANEUL SSEKASNVU</t>
  </si>
  <si>
    <t>MARTHA</t>
  </si>
  <si>
    <t>MILTON</t>
  </si>
  <si>
    <t>MISAKI</t>
  </si>
  <si>
    <t>MOSES WAREN</t>
  </si>
  <si>
    <t xml:space="preserve">PREACIOUS </t>
  </si>
  <si>
    <t>RITAH</t>
  </si>
  <si>
    <t>RITAH NEPHRO</t>
  </si>
  <si>
    <t>ROSS MERY</t>
  </si>
  <si>
    <t>EMMESUAL SSEMEGERVE</t>
  </si>
  <si>
    <t>FATIMA ZOHA</t>
  </si>
  <si>
    <t>HADUS</t>
  </si>
  <si>
    <t>HUSSAIN</t>
  </si>
  <si>
    <t>FOMUM JHON</t>
  </si>
  <si>
    <t>DR.KABANDA</t>
  </si>
  <si>
    <t>KAYEAM ali</t>
  </si>
  <si>
    <t>KINETH</t>
  </si>
  <si>
    <t>MAHADEE</t>
  </si>
  <si>
    <t>MEACRY</t>
  </si>
  <si>
    <t>PASCAZIA</t>
  </si>
  <si>
    <t>PEACE</t>
  </si>
  <si>
    <t>POLLY LUBEGA</t>
  </si>
  <si>
    <t xml:space="preserve">ROSS MUHINDO </t>
  </si>
  <si>
    <t>TOM</t>
  </si>
  <si>
    <t>VIOLAH</t>
  </si>
  <si>
    <t>KASANGATI CME</t>
  </si>
  <si>
    <t>Mbarara referral</t>
  </si>
  <si>
    <t>KAMPALA CENTRAL</t>
  </si>
  <si>
    <t>DMA clinic</t>
  </si>
  <si>
    <t>Mulago</t>
  </si>
  <si>
    <t>Nakasero Hospital</t>
  </si>
  <si>
    <t>fireca pharmacy</t>
  </si>
  <si>
    <t>Kiruddu rrh</t>
  </si>
  <si>
    <t>uganda Referral</t>
  </si>
  <si>
    <t>NAKASERO HOSPITAL</t>
  </si>
  <si>
    <t>umc hospital</t>
  </si>
  <si>
    <t>Mbarara medical specialist</t>
  </si>
  <si>
    <t>kibuli</t>
  </si>
  <si>
    <t>KASAGATI H.C IV</t>
  </si>
  <si>
    <t>RACHEAL</t>
  </si>
  <si>
    <t>all</t>
  </si>
  <si>
    <t>GEORGE</t>
  </si>
  <si>
    <t>AISHA</t>
  </si>
  <si>
    <t>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</si>
</sst>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F0F4F8"/>
        <bgColor rgb="FFF0F4F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3E2C-A345-4647-A2DB-A1FA4BB7E35A}">
  <dimension ref="A1:P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3" sqref="O3:O6"/>
    </sheetView>
  </sheetViews>
  <sheetFormatPr defaultRowHeight="15" x14ac:dyDescent="0.25"/>
  <cols>
    <col min="2" max="2" width="19.7109375" customWidth="1"/>
    <col min="3" max="6" width="10.85546875" customWidth="1"/>
    <col min="7" max="7" width="10.7109375" customWidth="1"/>
    <col min="8" max="8" width="11.5703125" customWidth="1"/>
    <col min="9" max="9" width="10.7109375" customWidth="1"/>
    <col min="10" max="10" width="12.7109375" customWidth="1"/>
    <col min="11" max="11" width="12.85546875" customWidth="1"/>
    <col min="12" max="12" width="12.42578125" customWidth="1"/>
    <col min="15" max="15" width="10.85546875" customWidth="1"/>
    <col min="16" max="16" width="7.7109375" customWidth="1"/>
  </cols>
  <sheetData>
    <row r="1" spans="1:16" ht="15" customHeight="1" x14ac:dyDescent="0.25">
      <c r="A1" s="17" t="s">
        <v>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36.75" x14ac:dyDescent="0.25">
      <c r="A2" s="1" t="s">
        <v>0</v>
      </c>
      <c r="B2" s="1" t="s">
        <v>1</v>
      </c>
      <c r="C2" s="1" t="s">
        <v>2</v>
      </c>
      <c r="D2" s="8" t="s">
        <v>23</v>
      </c>
      <c r="E2" s="8" t="s">
        <v>24</v>
      </c>
      <c r="F2" s="8" t="s">
        <v>25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 ht="17.25" customHeight="1" x14ac:dyDescent="0.25">
      <c r="A3" s="2">
        <v>1</v>
      </c>
      <c r="B3" s="2" t="s">
        <v>13</v>
      </c>
      <c r="C3" s="2" t="s">
        <v>14</v>
      </c>
      <c r="D3" s="9">
        <v>53</v>
      </c>
      <c r="E3" s="9">
        <v>19</v>
      </c>
      <c r="F3" s="10">
        <f>E3/D3</f>
        <v>0.35849056603773582</v>
      </c>
      <c r="G3" s="3">
        <v>27</v>
      </c>
      <c r="H3" s="3">
        <v>40</v>
      </c>
      <c r="I3" s="4">
        <v>7</v>
      </c>
      <c r="J3" s="3">
        <v>67</v>
      </c>
      <c r="K3" s="5">
        <v>23</v>
      </c>
      <c r="L3" s="5">
        <v>20</v>
      </c>
      <c r="M3" s="5">
        <v>14</v>
      </c>
      <c r="N3" s="6">
        <f>J3/M3</f>
        <v>4.7857142857142856</v>
      </c>
      <c r="O3" s="3">
        <v>16470</v>
      </c>
      <c r="P3" s="3">
        <v>400</v>
      </c>
    </row>
    <row r="4" spans="1:16" ht="15.75" x14ac:dyDescent="0.25">
      <c r="A4" s="2">
        <v>2</v>
      </c>
      <c r="B4" s="2" t="s">
        <v>15</v>
      </c>
      <c r="C4" s="2" t="s">
        <v>16</v>
      </c>
      <c r="D4" s="9">
        <v>110</v>
      </c>
      <c r="E4" s="9">
        <v>54</v>
      </c>
      <c r="F4" s="10">
        <f>E4/D4</f>
        <v>0.49090909090909091</v>
      </c>
      <c r="G4" s="3">
        <v>84</v>
      </c>
      <c r="H4" s="3">
        <v>30</v>
      </c>
      <c r="I4" s="4">
        <v>4</v>
      </c>
      <c r="J4" s="3">
        <v>114</v>
      </c>
      <c r="K4" s="5">
        <v>62</v>
      </c>
      <c r="L4" s="5">
        <v>20</v>
      </c>
      <c r="M4" s="5">
        <v>19</v>
      </c>
      <c r="N4" s="6">
        <f t="shared" ref="N4:N7" si="0">J4/M4</f>
        <v>6</v>
      </c>
      <c r="O4" s="7">
        <v>4000</v>
      </c>
      <c r="P4" s="3">
        <v>500</v>
      </c>
    </row>
    <row r="5" spans="1:16" ht="15.75" x14ac:dyDescent="0.25">
      <c r="A5" s="2">
        <v>3</v>
      </c>
      <c r="B5" s="2" t="s">
        <v>17</v>
      </c>
      <c r="C5" s="2" t="s">
        <v>18</v>
      </c>
      <c r="D5" s="9">
        <v>150</v>
      </c>
      <c r="E5" s="9">
        <v>83</v>
      </c>
      <c r="F5" s="10">
        <f>E5/D5</f>
        <v>0.55333333333333334</v>
      </c>
      <c r="G5" s="3">
        <v>109</v>
      </c>
      <c r="H5" s="3">
        <v>33</v>
      </c>
      <c r="I5" s="4">
        <v>6</v>
      </c>
      <c r="J5" s="3">
        <v>142</v>
      </c>
      <c r="K5" s="5">
        <v>85</v>
      </c>
      <c r="L5" s="5">
        <v>20</v>
      </c>
      <c r="M5" s="5">
        <v>19</v>
      </c>
      <c r="N5" s="6">
        <f t="shared" si="0"/>
        <v>7.4736842105263159</v>
      </c>
      <c r="O5" s="7">
        <v>3900</v>
      </c>
      <c r="P5" s="3">
        <v>375</v>
      </c>
    </row>
    <row r="6" spans="1:16" ht="15.75" x14ac:dyDescent="0.25">
      <c r="A6" s="2">
        <v>4</v>
      </c>
      <c r="B6" s="2" t="s">
        <v>19</v>
      </c>
      <c r="C6" s="2" t="s">
        <v>20</v>
      </c>
      <c r="D6" s="9">
        <v>108</v>
      </c>
      <c r="E6" s="9">
        <v>44</v>
      </c>
      <c r="F6" s="10">
        <f>E6/D6</f>
        <v>0.40740740740740738</v>
      </c>
      <c r="G6" s="3">
        <v>96</v>
      </c>
      <c r="H6" s="3">
        <v>37</v>
      </c>
      <c r="I6" s="4">
        <v>4</v>
      </c>
      <c r="J6" s="3">
        <v>133</v>
      </c>
      <c r="K6" s="5">
        <v>56</v>
      </c>
      <c r="L6" s="5">
        <v>20</v>
      </c>
      <c r="M6" s="5">
        <v>19</v>
      </c>
      <c r="N6" s="6">
        <f t="shared" si="0"/>
        <v>7</v>
      </c>
      <c r="O6" s="7">
        <v>2050</v>
      </c>
      <c r="P6" s="3">
        <v>400</v>
      </c>
    </row>
    <row r="7" spans="1:16" ht="15.75" x14ac:dyDescent="0.25">
      <c r="A7" s="2">
        <v>6</v>
      </c>
      <c r="B7" s="2" t="s">
        <v>21</v>
      </c>
      <c r="C7" s="2" t="s">
        <v>14</v>
      </c>
      <c r="D7" s="2"/>
      <c r="E7" s="2"/>
      <c r="F7" s="2"/>
      <c r="G7" s="3"/>
      <c r="H7" s="3"/>
      <c r="I7" s="4"/>
      <c r="J7" s="3">
        <v>65</v>
      </c>
      <c r="K7" s="5">
        <v>74</v>
      </c>
      <c r="L7" s="5">
        <v>20</v>
      </c>
      <c r="M7" s="5">
        <v>18</v>
      </c>
      <c r="N7" s="6">
        <f t="shared" si="0"/>
        <v>3.6111111111111112</v>
      </c>
      <c r="O7" s="7"/>
      <c r="P7" s="3">
        <v>1200</v>
      </c>
    </row>
    <row r="8" spans="1:16" ht="15.75" x14ac:dyDescent="0.25">
      <c r="A8" s="2">
        <v>7</v>
      </c>
      <c r="B8" s="2" t="s">
        <v>26</v>
      </c>
      <c r="C8" s="2" t="s">
        <v>14</v>
      </c>
      <c r="D8" s="2"/>
      <c r="E8" s="2"/>
      <c r="F8" s="2"/>
      <c r="G8" s="2"/>
      <c r="H8" s="2"/>
      <c r="I8" s="2"/>
      <c r="J8" s="3">
        <v>47</v>
      </c>
      <c r="K8" s="3">
        <v>21</v>
      </c>
      <c r="L8" s="4"/>
      <c r="M8" s="3">
        <v>18</v>
      </c>
      <c r="N8" s="11">
        <f>J8/M8</f>
        <v>2.6111111111111112</v>
      </c>
      <c r="O8" s="5"/>
      <c r="P8" s="5">
        <v>3600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B0CD-8F08-49C5-B6DD-2FC983D0280D}">
  <dimension ref="A1:E39"/>
  <sheetViews>
    <sheetView topLeftCell="A29" workbookViewId="0">
      <selection activeCell="C41" sqref="C41"/>
    </sheetView>
  </sheetViews>
  <sheetFormatPr defaultRowHeight="15" x14ac:dyDescent="0.25"/>
  <cols>
    <col min="2" max="2" width="25.7109375" bestFit="1" customWidth="1"/>
    <col min="3" max="3" width="12.140625" customWidth="1"/>
    <col min="4" max="4" width="18.28515625" customWidth="1"/>
    <col min="5" max="5" width="11.28515625" customWidth="1"/>
  </cols>
  <sheetData>
    <row r="1" spans="1:5" x14ac:dyDescent="0.25">
      <c r="A1" s="19" t="s">
        <v>31</v>
      </c>
      <c r="B1" s="20"/>
      <c r="C1" s="20"/>
      <c r="D1" s="20"/>
      <c r="E1" s="20"/>
    </row>
    <row r="2" spans="1:5" ht="24" x14ac:dyDescent="0.25">
      <c r="A2" s="1" t="s">
        <v>0</v>
      </c>
      <c r="B2" s="1" t="s">
        <v>27</v>
      </c>
      <c r="C2" s="1" t="s">
        <v>28</v>
      </c>
      <c r="D2" s="1" t="s">
        <v>29</v>
      </c>
      <c r="E2" s="1" t="s">
        <v>30</v>
      </c>
    </row>
    <row r="3" spans="1:5" ht="30" x14ac:dyDescent="0.25">
      <c r="B3" s="12" t="s">
        <v>32</v>
      </c>
      <c r="C3" s="14" t="s">
        <v>68</v>
      </c>
      <c r="D3" s="12" t="s">
        <v>81</v>
      </c>
      <c r="E3" s="15">
        <v>50500</v>
      </c>
    </row>
    <row r="4" spans="1:5" ht="30" x14ac:dyDescent="0.25">
      <c r="B4" s="12" t="s">
        <v>33</v>
      </c>
      <c r="C4" s="14" t="s">
        <v>68</v>
      </c>
      <c r="D4" s="12" t="s">
        <v>81</v>
      </c>
      <c r="E4" s="16">
        <v>50500</v>
      </c>
    </row>
    <row r="5" spans="1:5" ht="30" x14ac:dyDescent="0.25">
      <c r="B5" s="12" t="s">
        <v>34</v>
      </c>
      <c r="C5" s="14" t="s">
        <v>68</v>
      </c>
      <c r="D5" s="12" t="s">
        <v>81</v>
      </c>
      <c r="E5" s="16">
        <v>50500</v>
      </c>
    </row>
    <row r="6" spans="1:5" ht="30" x14ac:dyDescent="0.25">
      <c r="B6" s="13" t="s">
        <v>35</v>
      </c>
      <c r="C6" s="14" t="s">
        <v>69</v>
      </c>
      <c r="D6" s="12" t="s">
        <v>82</v>
      </c>
      <c r="E6" s="15">
        <v>1000000</v>
      </c>
    </row>
    <row r="7" spans="1:5" x14ac:dyDescent="0.25">
      <c r="B7" s="13" t="s">
        <v>36</v>
      </c>
      <c r="C7" s="14" t="s">
        <v>70</v>
      </c>
      <c r="D7" s="12" t="s">
        <v>81</v>
      </c>
      <c r="E7" s="15">
        <v>60000</v>
      </c>
    </row>
    <row r="8" spans="1:5" ht="30" x14ac:dyDescent="0.25">
      <c r="B8" s="13" t="s">
        <v>37</v>
      </c>
      <c r="C8" s="14" t="s">
        <v>68</v>
      </c>
      <c r="D8" s="12" t="s">
        <v>81</v>
      </c>
      <c r="E8" s="15">
        <v>50500</v>
      </c>
    </row>
    <row r="9" spans="1:5" x14ac:dyDescent="0.25">
      <c r="B9" s="13" t="s">
        <v>38</v>
      </c>
      <c r="C9" s="12" t="s">
        <v>71</v>
      </c>
      <c r="D9" s="12" t="s">
        <v>83</v>
      </c>
      <c r="E9" s="16">
        <v>223900</v>
      </c>
    </row>
    <row r="10" spans="1:5" ht="30" x14ac:dyDescent="0.25">
      <c r="B10" s="12" t="s">
        <v>39</v>
      </c>
      <c r="C10" s="14" t="s">
        <v>72</v>
      </c>
      <c r="D10" s="12" t="s">
        <v>83</v>
      </c>
      <c r="E10" s="16">
        <v>205000</v>
      </c>
    </row>
    <row r="11" spans="1:5" ht="30" x14ac:dyDescent="0.25">
      <c r="B11" s="12" t="s">
        <v>40</v>
      </c>
      <c r="C11" s="14" t="s">
        <v>68</v>
      </c>
      <c r="D11" s="12" t="s">
        <v>81</v>
      </c>
      <c r="E11" s="16">
        <v>50500</v>
      </c>
    </row>
    <row r="12" spans="1:5" x14ac:dyDescent="0.25">
      <c r="B12" s="12" t="s">
        <v>41</v>
      </c>
      <c r="C12" s="12" t="s">
        <v>73</v>
      </c>
      <c r="D12" s="12" t="s">
        <v>83</v>
      </c>
      <c r="E12" s="16">
        <v>50500</v>
      </c>
    </row>
    <row r="13" spans="1:5" x14ac:dyDescent="0.25">
      <c r="B13" s="13" t="s">
        <v>42</v>
      </c>
      <c r="C13" s="14" t="s">
        <v>74</v>
      </c>
      <c r="D13" s="12" t="s">
        <v>83</v>
      </c>
      <c r="E13" s="16">
        <v>54000</v>
      </c>
    </row>
    <row r="14" spans="1:5" ht="30" x14ac:dyDescent="0.25">
      <c r="B14" s="12" t="s">
        <v>43</v>
      </c>
      <c r="C14" s="14" t="s">
        <v>68</v>
      </c>
      <c r="D14" s="12" t="s">
        <v>81</v>
      </c>
      <c r="E14" s="16">
        <v>50500</v>
      </c>
    </row>
    <row r="15" spans="1:5" ht="30" x14ac:dyDescent="0.25">
      <c r="B15" s="12" t="s">
        <v>44</v>
      </c>
      <c r="C15" s="14" t="s">
        <v>68</v>
      </c>
      <c r="D15" s="12" t="s">
        <v>81</v>
      </c>
      <c r="E15" s="16">
        <v>50500</v>
      </c>
    </row>
    <row r="16" spans="1:5" ht="30" x14ac:dyDescent="0.25">
      <c r="B16" s="12" t="s">
        <v>45</v>
      </c>
      <c r="C16" s="14" t="s">
        <v>68</v>
      </c>
      <c r="D16" s="12" t="s">
        <v>81</v>
      </c>
      <c r="E16" s="16">
        <v>50500</v>
      </c>
    </row>
    <row r="17" spans="2:5" ht="30" x14ac:dyDescent="0.25">
      <c r="B17" s="12" t="s">
        <v>46</v>
      </c>
      <c r="C17" s="14" t="s">
        <v>68</v>
      </c>
      <c r="D17" s="12" t="s">
        <v>81</v>
      </c>
      <c r="E17" s="16">
        <v>50500</v>
      </c>
    </row>
    <row r="18" spans="2:5" ht="30" x14ac:dyDescent="0.25">
      <c r="B18" s="12" t="s">
        <v>47</v>
      </c>
      <c r="C18" s="14" t="s">
        <v>75</v>
      </c>
      <c r="D18" s="12" t="s">
        <v>81</v>
      </c>
      <c r="E18" s="16">
        <v>101000</v>
      </c>
    </row>
    <row r="19" spans="2:5" ht="30" x14ac:dyDescent="0.25">
      <c r="B19" s="12" t="s">
        <v>48</v>
      </c>
      <c r="C19" s="14" t="s">
        <v>68</v>
      </c>
      <c r="D19" s="12" t="s">
        <v>81</v>
      </c>
      <c r="E19" s="16">
        <v>50500</v>
      </c>
    </row>
    <row r="20" spans="2:5" ht="45" x14ac:dyDescent="0.25">
      <c r="B20" s="12" t="s">
        <v>49</v>
      </c>
      <c r="C20" s="14" t="s">
        <v>76</v>
      </c>
      <c r="D20" s="12" t="s">
        <v>83</v>
      </c>
      <c r="E20" s="16">
        <v>40500</v>
      </c>
    </row>
    <row r="21" spans="2:5" ht="30" x14ac:dyDescent="0.25">
      <c r="B21" s="12" t="s">
        <v>50</v>
      </c>
      <c r="C21" s="14" t="s">
        <v>68</v>
      </c>
      <c r="D21" s="12" t="s">
        <v>81</v>
      </c>
      <c r="E21" s="16">
        <v>50500</v>
      </c>
    </row>
    <row r="22" spans="2:5" x14ac:dyDescent="0.25">
      <c r="B22" s="12" t="s">
        <v>51</v>
      </c>
      <c r="C22" s="14" t="s">
        <v>74</v>
      </c>
      <c r="D22" s="12" t="s">
        <v>84</v>
      </c>
      <c r="E22" s="16">
        <v>201000</v>
      </c>
    </row>
    <row r="23" spans="2:5" x14ac:dyDescent="0.25">
      <c r="B23" s="12" t="s">
        <v>52</v>
      </c>
      <c r="C23" s="14" t="s">
        <v>77</v>
      </c>
      <c r="D23" s="12" t="s">
        <v>83</v>
      </c>
      <c r="E23" s="16">
        <v>151000</v>
      </c>
    </row>
    <row r="24" spans="2:5" ht="30" x14ac:dyDescent="0.25">
      <c r="B24" s="12" t="s">
        <v>53</v>
      </c>
      <c r="C24" s="14" t="s">
        <v>68</v>
      </c>
      <c r="D24" s="12" t="s">
        <v>81</v>
      </c>
      <c r="E24" s="16">
        <v>50500</v>
      </c>
    </row>
    <row r="25" spans="2:5" ht="30" x14ac:dyDescent="0.25">
      <c r="B25" s="12" t="s">
        <v>54</v>
      </c>
      <c r="C25" s="14" t="s">
        <v>69</v>
      </c>
      <c r="D25" s="12" t="s">
        <v>85</v>
      </c>
      <c r="E25" s="16">
        <v>33600</v>
      </c>
    </row>
    <row r="26" spans="2:5" x14ac:dyDescent="0.25">
      <c r="B26" s="12" t="s">
        <v>55</v>
      </c>
      <c r="C26" s="14" t="s">
        <v>77</v>
      </c>
      <c r="D26" s="12" t="s">
        <v>83</v>
      </c>
      <c r="E26" s="16">
        <v>301000</v>
      </c>
    </row>
    <row r="27" spans="2:5" ht="45" x14ac:dyDescent="0.25">
      <c r="B27" s="12" t="s">
        <v>56</v>
      </c>
      <c r="C27" s="14" t="s">
        <v>78</v>
      </c>
      <c r="D27" s="12" t="s">
        <v>81</v>
      </c>
      <c r="E27" s="16">
        <v>125000</v>
      </c>
    </row>
    <row r="28" spans="2:5" x14ac:dyDescent="0.25">
      <c r="B28" s="12" t="s">
        <v>57</v>
      </c>
      <c r="C28" s="14" t="s">
        <v>79</v>
      </c>
      <c r="D28" s="12" t="s">
        <v>84</v>
      </c>
      <c r="E28" s="16">
        <v>201000</v>
      </c>
    </row>
    <row r="29" spans="2:5" ht="30" x14ac:dyDescent="0.25">
      <c r="B29" s="12" t="s">
        <v>58</v>
      </c>
      <c r="C29" s="14" t="s">
        <v>75</v>
      </c>
      <c r="D29" s="12" t="s">
        <v>81</v>
      </c>
      <c r="E29" s="16">
        <v>50500</v>
      </c>
    </row>
    <row r="30" spans="2:5" x14ac:dyDescent="0.25">
      <c r="B30" s="12" t="s">
        <v>59</v>
      </c>
      <c r="C30" s="14" t="s">
        <v>74</v>
      </c>
      <c r="D30" s="12" t="s">
        <v>84</v>
      </c>
      <c r="E30" s="16">
        <v>201000</v>
      </c>
    </row>
    <row r="31" spans="2:5" ht="30" x14ac:dyDescent="0.25">
      <c r="B31" s="12" t="s">
        <v>60</v>
      </c>
      <c r="C31" s="14" t="s">
        <v>75</v>
      </c>
      <c r="D31" s="12" t="s">
        <v>81</v>
      </c>
      <c r="E31" s="16">
        <v>50500</v>
      </c>
    </row>
    <row r="32" spans="2:5" ht="30" x14ac:dyDescent="0.25">
      <c r="B32" s="12" t="s">
        <v>61</v>
      </c>
      <c r="C32" s="14" t="s">
        <v>75</v>
      </c>
      <c r="D32" s="12" t="s">
        <v>81</v>
      </c>
      <c r="E32" s="16">
        <v>50500</v>
      </c>
    </row>
    <row r="33" spans="2:5" ht="30" x14ac:dyDescent="0.25">
      <c r="B33" s="12" t="s">
        <v>62</v>
      </c>
      <c r="C33" s="14" t="s">
        <v>75</v>
      </c>
      <c r="D33" s="12" t="s">
        <v>81</v>
      </c>
      <c r="E33" s="16">
        <v>50500</v>
      </c>
    </row>
    <row r="34" spans="2:5" ht="30" x14ac:dyDescent="0.25">
      <c r="B34" s="12" t="s">
        <v>63</v>
      </c>
      <c r="C34" s="14" t="s">
        <v>75</v>
      </c>
      <c r="D34" s="12" t="s">
        <v>81</v>
      </c>
      <c r="E34" s="16">
        <v>50500</v>
      </c>
    </row>
    <row r="35" spans="2:5" x14ac:dyDescent="0.25">
      <c r="B35" s="12" t="s">
        <v>64</v>
      </c>
      <c r="C35" s="14" t="s">
        <v>70</v>
      </c>
      <c r="D35" s="12" t="s">
        <v>81</v>
      </c>
      <c r="E35" s="16">
        <v>80000</v>
      </c>
    </row>
    <row r="36" spans="2:5" ht="30" x14ac:dyDescent="0.25">
      <c r="B36" s="12" t="s">
        <v>65</v>
      </c>
      <c r="C36" s="14" t="s">
        <v>68</v>
      </c>
      <c r="D36" s="12" t="s">
        <v>81</v>
      </c>
      <c r="E36" s="16">
        <v>50500</v>
      </c>
    </row>
    <row r="37" spans="2:5" ht="30" x14ac:dyDescent="0.25">
      <c r="B37" s="12" t="s">
        <v>66</v>
      </c>
      <c r="C37" s="14" t="s">
        <v>68</v>
      </c>
      <c r="D37" s="12" t="s">
        <v>81</v>
      </c>
      <c r="E37" s="16">
        <v>50500</v>
      </c>
    </row>
    <row r="38" spans="2:5" x14ac:dyDescent="0.25">
      <c r="B38" s="13" t="s">
        <v>67</v>
      </c>
      <c r="C38" s="13" t="s">
        <v>80</v>
      </c>
      <c r="D38" s="12" t="s">
        <v>85</v>
      </c>
      <c r="E38" s="16">
        <v>221500</v>
      </c>
    </row>
    <row r="39" spans="2:5" x14ac:dyDescent="0.25">
      <c r="E39" s="1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</vt:lpstr>
      <vt:lpstr>Budget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PMT-PC</cp:lastModifiedBy>
  <dcterms:created xsi:type="dcterms:W3CDTF">2026-06-02T07:46:27Z</dcterms:created>
  <dcterms:modified xsi:type="dcterms:W3CDTF">2026-06-18T09:45:35Z</dcterms:modified>
</cp:coreProperties>
</file>