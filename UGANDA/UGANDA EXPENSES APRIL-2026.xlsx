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le  and weekly report\Uganda\April for razy\"/>
    </mc:Choice>
  </mc:AlternateContent>
  <xr:revisionPtr revIDLastSave="0" documentId="13_ncr:1_{E47B52AB-B5D1-4330-8B3B-21C487E4AE90}" xr6:coauthVersionLast="47" xr6:coauthVersionMax="47" xr10:uidLastSave="{00000000-0000-0000-0000-000000000000}"/>
  <bookViews>
    <workbookView xWindow="-120" yWindow="-120" windowWidth="20730" windowHeight="11160" activeTab="1" xr2:uid="{2970B40F-7A49-4858-8CF7-55AAD769FA10}"/>
  </bookViews>
  <sheets>
    <sheet name="MONEY REVEIVED" sheetId="1" r:id="rId1"/>
    <sheet name="ACTIVITY EXPENSES" sheetId="2" r:id="rId2"/>
    <sheet name="Other EX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5" i="1"/>
  <c r="D3" i="1"/>
  <c r="E6" i="1"/>
</calcChain>
</file>

<file path=xl/sharedStrings.xml><?xml version="1.0" encoding="utf-8"?>
<sst xmlns="http://schemas.openxmlformats.org/spreadsheetml/2006/main" count="100" uniqueCount="69">
  <si>
    <t>MONEY RECEIVED — April 2026</t>
  </si>
  <si>
    <t>Type</t>
  </si>
  <si>
    <t>Date</t>
  </si>
  <si>
    <t>Source / Description</t>
  </si>
  <si>
    <t>Notes</t>
  </si>
  <si>
    <t>OPENING BALANCE</t>
  </si>
  <si>
    <t>Closing balance from March 2026</t>
  </si>
  <si>
    <t>RECEIVED</t>
  </si>
  <si>
    <t>SPENT</t>
  </si>
  <si>
    <t>BALANCE</t>
  </si>
  <si>
    <t>ACTIVITY EXPENSES —April 2026</t>
  </si>
  <si>
    <t>S.No</t>
  </si>
  <si>
    <t>Speciality</t>
  </si>
  <si>
    <t>Products</t>
  </si>
  <si>
    <t>Contact Number</t>
  </si>
  <si>
    <t>Responsible</t>
  </si>
  <si>
    <t>Sales Outcome</t>
  </si>
  <si>
    <t>No. of Visits</t>
  </si>
  <si>
    <t>Country</t>
  </si>
  <si>
    <t>Details</t>
  </si>
  <si>
    <t>Comments</t>
  </si>
  <si>
    <t>Category</t>
  </si>
  <si>
    <t>JHON FOMUM</t>
  </si>
  <si>
    <t>BRENDA</t>
  </si>
  <si>
    <t>ZOHA FATIMA</t>
  </si>
  <si>
    <t>JULIUS</t>
  </si>
  <si>
    <t>MOSES MPIUS</t>
  </si>
  <si>
    <t>MASEREKA ASANSIO</t>
  </si>
  <si>
    <t>JAMAL ABDUL</t>
  </si>
  <si>
    <t>OPIO STEPHEN</t>
  </si>
  <si>
    <t>NANCY</t>
  </si>
  <si>
    <t>KIZITO</t>
  </si>
  <si>
    <t>PHY</t>
  </si>
  <si>
    <t>PHARMACIST</t>
  </si>
  <si>
    <t>DISPENSER</t>
  </si>
  <si>
    <t>GP</t>
  </si>
  <si>
    <t>Amount (UGX)</t>
  </si>
  <si>
    <t>DENIAL</t>
  </si>
  <si>
    <t>FIRST PHARMACY</t>
  </si>
  <si>
    <t>Bionerv Biojoints</t>
  </si>
  <si>
    <t>Novafinia Medical center</t>
  </si>
  <si>
    <t>Bionerv Biopeafort Bioprostate</t>
  </si>
  <si>
    <t>Bionerv</t>
  </si>
  <si>
    <t>Biotic Bionerv Biopeafort</t>
  </si>
  <si>
    <t>Umc hospital</t>
  </si>
  <si>
    <t>UGANDA</t>
  </si>
  <si>
    <t>OTHER EXPENSES — APRIL 2026</t>
  </si>
  <si>
    <t>Amount (USD)</t>
  </si>
  <si>
    <t xml:space="preserve">KARNAL HO MEETING </t>
  </si>
  <si>
    <t>BANK CHARGE</t>
  </si>
  <si>
    <t xml:space="preserve">VISIT TO KARNAL HEAD OFFICE INCLUDING ALL THE TRAVELING  EXP </t>
  </si>
  <si>
    <t xml:space="preserve">SWIFT CHARGES </t>
  </si>
  <si>
    <t xml:space="preserve">All products </t>
  </si>
  <si>
    <t>Biopeafort BioMax Bioketon</t>
  </si>
  <si>
    <t>Closing balance end of April 2026</t>
  </si>
  <si>
    <t>Total activity expenses April 2026</t>
  </si>
  <si>
    <t>Arua RRH</t>
  </si>
  <si>
    <t>Hospital / Pharmacy Name</t>
  </si>
  <si>
    <t>Doctor Name</t>
  </si>
  <si>
    <t>BioMAN BioCZN CALDK2
COQ10</t>
  </si>
  <si>
    <t>C &amp; A PHARMACEUTICALS</t>
  </si>
  <si>
    <t>FRIECCA PHARMACY</t>
  </si>
  <si>
    <t>BioMAN BioCZN BIOC 
COQ10 BioPIA</t>
  </si>
  <si>
    <t>George</t>
  </si>
  <si>
    <t>Aisha</t>
  </si>
  <si>
    <t>Bionerv Bioman Bioprostate</t>
  </si>
  <si>
    <t>simon</t>
  </si>
  <si>
    <t>Activity Type</t>
  </si>
  <si>
    <t>Motivation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</si>
</sst>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color theme="1"/>
      <name val="Cambria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Calibri"/>
      <family val="2"/>
    </font>
    <font>
      <sz val="11"/>
      <name val="Cambria"/>
      <family val="1"/>
    </font>
    <font>
      <sz val="11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35">
    <xf numFmtId="0" fontId="0" fillId="0" borderId="0" xfId="0"/>
    <xf numFmtId="2" fontId="4" fillId="5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8" fillId="5" borderId="1" xfId="1" applyFont="1" applyFill="1" applyBorder="1">
      <alignment vertical="center"/>
    </xf>
    <xf numFmtId="0" fontId="5" fillId="5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15" fontId="5" fillId="5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0" borderId="0" xfId="0" applyAlignment="1">
      <alignment horizontal="center"/>
    </xf>
    <xf numFmtId="165" fontId="0" fillId="0" borderId="3" xfId="0" applyNumberFormat="1" applyBorder="1"/>
    <xf numFmtId="0" fontId="9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/>
    </xf>
    <xf numFmtId="0" fontId="8" fillId="5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E013470-1A1F-46E2-A9B2-0485950C91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E6DB-7860-460B-9367-91CF31A856CA}">
  <dimension ref="A1:F6"/>
  <sheetViews>
    <sheetView workbookViewId="0">
      <selection activeCell="E6" sqref="E6"/>
    </sheetView>
  </sheetViews>
  <sheetFormatPr defaultRowHeight="15" x14ac:dyDescent="0.25"/>
  <cols>
    <col min="2" max="2" width="21" customWidth="1"/>
    <col min="3" max="3" width="34.7109375" bestFit="1" customWidth="1"/>
    <col min="4" max="4" width="15" bestFit="1" customWidth="1"/>
    <col min="5" max="5" width="10.28515625" bestFit="1" customWidth="1"/>
  </cols>
  <sheetData>
    <row r="1" spans="1:6" x14ac:dyDescent="0.25">
      <c r="A1" s="31" t="s">
        <v>0</v>
      </c>
      <c r="B1" s="32"/>
      <c r="C1" s="32"/>
      <c r="D1" s="32"/>
      <c r="E1" s="32"/>
      <c r="F1" s="32"/>
    </row>
    <row r="2" spans="1:6" ht="24" x14ac:dyDescent="0.25">
      <c r="A2" s="13" t="s">
        <v>1</v>
      </c>
      <c r="B2" s="13" t="s">
        <v>2</v>
      </c>
      <c r="C2" s="13" t="s">
        <v>3</v>
      </c>
      <c r="D2" s="13" t="s">
        <v>36</v>
      </c>
      <c r="E2" s="13" t="s">
        <v>47</v>
      </c>
      <c r="F2" s="13" t="s">
        <v>4</v>
      </c>
    </row>
    <row r="3" spans="1:6" ht="24" x14ac:dyDescent="0.25">
      <c r="A3" s="23" t="s">
        <v>5</v>
      </c>
      <c r="B3" s="29">
        <v>46113</v>
      </c>
      <c r="C3" s="23" t="s">
        <v>6</v>
      </c>
      <c r="D3" s="25">
        <f>E3*3500</f>
        <v>4992610</v>
      </c>
      <c r="E3" s="24">
        <v>1426.46</v>
      </c>
      <c r="F3" s="23"/>
    </row>
    <row r="4" spans="1:6" x14ac:dyDescent="0.25">
      <c r="A4" s="3" t="s">
        <v>7</v>
      </c>
      <c r="B4" s="30"/>
      <c r="C4" s="3"/>
      <c r="D4" s="18"/>
      <c r="E4" s="18"/>
      <c r="F4" s="3"/>
    </row>
    <row r="5" spans="1:6" x14ac:dyDescent="0.25">
      <c r="A5" s="23" t="s">
        <v>8</v>
      </c>
      <c r="B5" s="30">
        <v>46142</v>
      </c>
      <c r="C5" s="23" t="s">
        <v>55</v>
      </c>
      <c r="D5" s="25">
        <f>E5*3500</f>
        <v>1867110.0000000002</v>
      </c>
      <c r="E5" s="18">
        <v>533.46</v>
      </c>
      <c r="F5" s="3"/>
    </row>
    <row r="6" spans="1:6" ht="15.75" x14ac:dyDescent="0.25">
      <c r="A6" s="23" t="s">
        <v>9</v>
      </c>
      <c r="B6" s="30">
        <v>46142</v>
      </c>
      <c r="C6" s="23" t="s">
        <v>54</v>
      </c>
      <c r="D6" s="25">
        <f>E6*3500</f>
        <v>3125500</v>
      </c>
      <c r="E6" s="1">
        <f>E3-E5</f>
        <v>893</v>
      </c>
      <c r="F6" s="3"/>
    </row>
  </sheetData>
  <mergeCells count="1">
    <mergeCell ref="A1:F1"/>
  </mergeCells>
  <dataValidations count="1">
    <dataValidation type="list" sqref="A3:A6" xr:uid="{D346F336-5264-4D76-B72B-901DD2951E83}">
      <formula1>"OPENING BALANCE,RECEIVED,SPENT,BALANCE"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DF55-5B11-4DAC-B5D1-4B73C5F5A60E}">
  <dimension ref="A1:K31"/>
  <sheetViews>
    <sheetView tabSelected="1" workbookViewId="0">
      <selection activeCell="D2" sqref="D2"/>
    </sheetView>
  </sheetViews>
  <sheetFormatPr defaultRowHeight="32.25" customHeight="1" x14ac:dyDescent="0.25"/>
  <cols>
    <col min="1" max="1" width="4.7109375" bestFit="1" customWidth="1"/>
    <col min="2" max="2" width="31.140625" customWidth="1"/>
    <col min="3" max="3" width="22.42578125" bestFit="1" customWidth="1"/>
    <col min="4" max="4" width="24.7109375" customWidth="1"/>
    <col min="5" max="5" width="26.7109375" customWidth="1"/>
    <col min="6" max="6" width="26.5703125" bestFit="1" customWidth="1"/>
    <col min="7" max="7" width="19.5703125" customWidth="1"/>
    <col min="8" max="8" width="14.140625" customWidth="1"/>
    <col min="9" max="9" width="15.5703125" customWidth="1"/>
    <col min="10" max="10" width="14.28515625" bestFit="1" customWidth="1"/>
    <col min="11" max="11" width="11.7109375" bestFit="1" customWidth="1"/>
  </cols>
  <sheetData>
    <row r="1" spans="1:11" ht="32.25" customHeight="1" x14ac:dyDescent="0.25">
      <c r="A1" s="33" t="s">
        <v>10</v>
      </c>
      <c r="B1" s="33"/>
      <c r="C1" s="33"/>
      <c r="D1" s="33"/>
      <c r="E1" s="33"/>
      <c r="F1" s="33"/>
      <c r="G1" s="33"/>
      <c r="H1" s="33"/>
      <c r="I1" s="33"/>
      <c r="J1" s="33"/>
    </row>
    <row r="2" spans="1:11" ht="32.25" customHeight="1" x14ac:dyDescent="0.25">
      <c r="A2" s="2" t="s">
        <v>11</v>
      </c>
      <c r="B2" s="2" t="s">
        <v>58</v>
      </c>
      <c r="C2" s="2" t="s">
        <v>57</v>
      </c>
      <c r="D2" s="2" t="s">
        <v>12</v>
      </c>
      <c r="E2" s="2" t="s">
        <v>67</v>
      </c>
      <c r="F2" s="2" t="s">
        <v>13</v>
      </c>
      <c r="G2" s="2" t="s">
        <v>47</v>
      </c>
      <c r="H2" s="2" t="s">
        <v>14</v>
      </c>
      <c r="I2" s="2" t="s">
        <v>15</v>
      </c>
      <c r="J2" s="3" t="s">
        <v>16</v>
      </c>
      <c r="K2" s="3" t="s">
        <v>17</v>
      </c>
    </row>
    <row r="3" spans="1:11" ht="32.25" customHeight="1" x14ac:dyDescent="0.25">
      <c r="A3" s="3">
        <v>1</v>
      </c>
      <c r="B3" s="18" t="s">
        <v>22</v>
      </c>
      <c r="C3" s="5" t="s">
        <v>44</v>
      </c>
      <c r="D3" s="18" t="s">
        <v>32</v>
      </c>
      <c r="E3" s="34" t="s">
        <v>68</v>
      </c>
      <c r="F3" s="5" t="s">
        <v>53</v>
      </c>
      <c r="G3" s="21">
        <v>43.142857142857146</v>
      </c>
      <c r="H3" s="5">
        <v>77653457</v>
      </c>
      <c r="I3" s="18" t="s">
        <v>63</v>
      </c>
      <c r="J3" s="3">
        <v>466</v>
      </c>
      <c r="K3" s="27">
        <v>3</v>
      </c>
    </row>
    <row r="4" spans="1:11" ht="32.25" customHeight="1" x14ac:dyDescent="0.25">
      <c r="A4" s="3">
        <v>2</v>
      </c>
      <c r="B4" s="18" t="s">
        <v>23</v>
      </c>
      <c r="C4" s="5" t="s">
        <v>38</v>
      </c>
      <c r="D4" s="18" t="s">
        <v>33</v>
      </c>
      <c r="E4" s="34" t="s">
        <v>68</v>
      </c>
      <c r="F4" s="20" t="s">
        <v>52</v>
      </c>
      <c r="G4" s="19">
        <v>71.714285714285708</v>
      </c>
      <c r="H4" s="5"/>
      <c r="I4" s="18" t="s">
        <v>63</v>
      </c>
      <c r="J4" s="3">
        <v>3000</v>
      </c>
      <c r="K4" s="27">
        <v>4</v>
      </c>
    </row>
    <row r="5" spans="1:11" ht="32.25" customHeight="1" x14ac:dyDescent="0.25">
      <c r="A5" s="3">
        <v>3</v>
      </c>
      <c r="B5" s="18" t="s">
        <v>24</v>
      </c>
      <c r="C5" s="5" t="s">
        <v>44</v>
      </c>
      <c r="D5" s="18" t="s">
        <v>32</v>
      </c>
      <c r="E5" s="34" t="s">
        <v>68</v>
      </c>
      <c r="F5" s="5" t="s">
        <v>53</v>
      </c>
      <c r="G5" s="19">
        <v>42.857142857142854</v>
      </c>
      <c r="H5" s="5"/>
      <c r="I5" s="18" t="s">
        <v>63</v>
      </c>
      <c r="J5" s="3">
        <v>407</v>
      </c>
      <c r="K5" s="27">
        <v>2</v>
      </c>
    </row>
    <row r="6" spans="1:11" ht="32.25" customHeight="1" x14ac:dyDescent="0.25">
      <c r="A6" s="3">
        <v>4</v>
      </c>
      <c r="B6" s="18" t="s">
        <v>25</v>
      </c>
      <c r="C6" s="5" t="s">
        <v>61</v>
      </c>
      <c r="D6" s="18" t="s">
        <v>34</v>
      </c>
      <c r="E6" s="34" t="s">
        <v>68</v>
      </c>
      <c r="F6" s="5" t="s">
        <v>62</v>
      </c>
      <c r="G6" s="21">
        <v>15</v>
      </c>
      <c r="H6" s="5"/>
      <c r="I6" s="18" t="s">
        <v>66</v>
      </c>
      <c r="J6" s="3">
        <v>1500</v>
      </c>
      <c r="K6" s="27">
        <v>2</v>
      </c>
    </row>
    <row r="7" spans="1:11" ht="32.25" customHeight="1" x14ac:dyDescent="0.25">
      <c r="A7" s="18">
        <v>5</v>
      </c>
      <c r="B7" s="18" t="s">
        <v>26</v>
      </c>
      <c r="C7" s="5" t="s">
        <v>40</v>
      </c>
      <c r="D7" s="18" t="s">
        <v>35</v>
      </c>
      <c r="E7" s="34" t="s">
        <v>68</v>
      </c>
      <c r="F7" s="5" t="s">
        <v>39</v>
      </c>
      <c r="G7" s="26">
        <v>14.285714285714286</v>
      </c>
      <c r="H7" s="5"/>
      <c r="I7" s="18" t="s">
        <v>37</v>
      </c>
      <c r="J7" s="3">
        <v>0</v>
      </c>
      <c r="K7" s="27">
        <v>2</v>
      </c>
    </row>
    <row r="8" spans="1:11" ht="32.25" customHeight="1" x14ac:dyDescent="0.25">
      <c r="A8" s="3">
        <v>6</v>
      </c>
      <c r="B8" s="18" t="s">
        <v>27</v>
      </c>
      <c r="C8" s="5" t="s">
        <v>56</v>
      </c>
      <c r="D8" s="18" t="s">
        <v>35</v>
      </c>
      <c r="E8" s="34" t="s">
        <v>68</v>
      </c>
      <c r="F8" s="5" t="s">
        <v>42</v>
      </c>
      <c r="G8" s="21">
        <v>5.7142857142857144</v>
      </c>
      <c r="H8" s="5"/>
      <c r="I8" s="18" t="s">
        <v>37</v>
      </c>
      <c r="J8" s="3">
        <v>0</v>
      </c>
      <c r="K8" s="27">
        <v>1</v>
      </c>
    </row>
    <row r="9" spans="1:11" ht="32.25" customHeight="1" x14ac:dyDescent="0.25">
      <c r="A9" s="3">
        <v>7</v>
      </c>
      <c r="B9" s="18" t="s">
        <v>28</v>
      </c>
      <c r="C9" s="5" t="s">
        <v>40</v>
      </c>
      <c r="D9" s="18" t="s">
        <v>35</v>
      </c>
      <c r="E9" s="34" t="s">
        <v>68</v>
      </c>
      <c r="F9" s="5" t="s">
        <v>41</v>
      </c>
      <c r="G9" s="19">
        <v>28.857142857142858</v>
      </c>
      <c r="H9" s="5"/>
      <c r="I9" s="18" t="s">
        <v>37</v>
      </c>
      <c r="J9" s="3">
        <v>0</v>
      </c>
      <c r="K9" s="27">
        <v>1</v>
      </c>
    </row>
    <row r="10" spans="1:11" ht="32.25" customHeight="1" x14ac:dyDescent="0.25">
      <c r="A10" s="3">
        <v>8</v>
      </c>
      <c r="B10" s="18" t="s">
        <v>29</v>
      </c>
      <c r="C10" s="9" t="s">
        <v>56</v>
      </c>
      <c r="D10" s="18" t="s">
        <v>33</v>
      </c>
      <c r="E10" s="34" t="s">
        <v>68</v>
      </c>
      <c r="F10" s="9" t="s">
        <v>65</v>
      </c>
      <c r="G10" s="19">
        <v>60.285714285714285</v>
      </c>
      <c r="H10" s="9"/>
      <c r="I10" s="18" t="s">
        <v>37</v>
      </c>
      <c r="J10" s="3">
        <v>0</v>
      </c>
      <c r="K10" s="28">
        <v>1</v>
      </c>
    </row>
    <row r="11" spans="1:11" ht="32.25" customHeight="1" x14ac:dyDescent="0.25">
      <c r="A11" s="3">
        <v>9</v>
      </c>
      <c r="B11" s="18" t="s">
        <v>30</v>
      </c>
      <c r="C11" s="5" t="s">
        <v>60</v>
      </c>
      <c r="D11" s="18" t="s">
        <v>34</v>
      </c>
      <c r="E11" s="34" t="s">
        <v>68</v>
      </c>
      <c r="F11" s="5" t="s">
        <v>59</v>
      </c>
      <c r="G11" s="19">
        <v>8.7142857142857135</v>
      </c>
      <c r="H11" s="5"/>
      <c r="I11" s="18" t="s">
        <v>64</v>
      </c>
      <c r="J11" s="3">
        <v>703.97</v>
      </c>
      <c r="K11" s="27">
        <v>5</v>
      </c>
    </row>
    <row r="12" spans="1:11" ht="32.25" customHeight="1" x14ac:dyDescent="0.25">
      <c r="A12" s="3">
        <v>10</v>
      </c>
      <c r="B12" s="18" t="s">
        <v>31</v>
      </c>
      <c r="C12" s="5" t="s">
        <v>56</v>
      </c>
      <c r="D12" s="18" t="s">
        <v>35</v>
      </c>
      <c r="E12" s="34" t="s">
        <v>68</v>
      </c>
      <c r="F12" s="5" t="s">
        <v>43</v>
      </c>
      <c r="G12" s="19">
        <v>14.428571428571429</v>
      </c>
      <c r="H12" s="5"/>
      <c r="I12" s="18" t="s">
        <v>37</v>
      </c>
      <c r="J12" s="3">
        <v>0</v>
      </c>
      <c r="K12" s="27">
        <v>1</v>
      </c>
    </row>
    <row r="13" spans="1:11" ht="32.25" customHeight="1" x14ac:dyDescent="0.25">
      <c r="A13" s="3">
        <v>11</v>
      </c>
      <c r="B13" s="4"/>
      <c r="C13" s="4"/>
      <c r="D13" s="5"/>
      <c r="E13" s="5"/>
      <c r="F13" s="5"/>
      <c r="G13" s="6"/>
      <c r="H13" s="5"/>
      <c r="I13" s="7"/>
      <c r="J13" s="3"/>
      <c r="K13" s="8"/>
    </row>
    <row r="14" spans="1:11" ht="32.25" customHeight="1" x14ac:dyDescent="0.25">
      <c r="A14" s="3">
        <v>12</v>
      </c>
      <c r="B14" s="4"/>
      <c r="C14" s="4"/>
      <c r="D14" s="5"/>
      <c r="E14" s="5"/>
      <c r="F14" s="5"/>
      <c r="G14" s="6"/>
      <c r="H14" s="5"/>
      <c r="I14" s="10"/>
      <c r="J14" s="3"/>
      <c r="K14" s="8"/>
    </row>
    <row r="15" spans="1:11" ht="32.25" customHeight="1" x14ac:dyDescent="0.25">
      <c r="A15" s="3">
        <v>13</v>
      </c>
      <c r="B15" s="4"/>
      <c r="C15" s="4"/>
      <c r="D15" s="5"/>
      <c r="E15" s="5"/>
      <c r="F15" s="5"/>
      <c r="G15" s="6"/>
      <c r="H15" s="5"/>
      <c r="I15" s="7"/>
      <c r="J15" s="3"/>
      <c r="K15" s="8"/>
    </row>
    <row r="16" spans="1:11" ht="32.25" customHeight="1" x14ac:dyDescent="0.25">
      <c r="A16" s="3">
        <v>14</v>
      </c>
      <c r="B16" s="4"/>
      <c r="C16" s="4"/>
      <c r="D16" s="5"/>
      <c r="E16" s="5"/>
      <c r="F16" s="5"/>
      <c r="G16" s="6"/>
      <c r="H16" s="5"/>
      <c r="I16" s="7"/>
      <c r="J16" s="3"/>
      <c r="K16" s="8"/>
    </row>
    <row r="17" spans="1:11" ht="32.25" customHeight="1" x14ac:dyDescent="0.25">
      <c r="A17" s="3">
        <v>15</v>
      </c>
      <c r="B17" s="4"/>
      <c r="C17" s="4"/>
      <c r="D17" s="5"/>
      <c r="E17" s="5"/>
      <c r="F17" s="5"/>
      <c r="G17" s="6"/>
      <c r="H17" s="5"/>
      <c r="I17" s="7"/>
      <c r="J17" s="3"/>
      <c r="K17" s="8"/>
    </row>
    <row r="18" spans="1:11" ht="32.25" customHeight="1" x14ac:dyDescent="0.25">
      <c r="A18" s="3">
        <v>16</v>
      </c>
      <c r="B18" s="4"/>
      <c r="C18" s="4"/>
      <c r="D18" s="5"/>
      <c r="E18" s="5"/>
      <c r="F18" s="5"/>
      <c r="G18" s="6"/>
      <c r="H18" s="5"/>
      <c r="I18" s="7"/>
      <c r="J18" s="3"/>
      <c r="K18" s="8"/>
    </row>
    <row r="19" spans="1:11" ht="32.25" customHeight="1" x14ac:dyDescent="0.25">
      <c r="A19" s="3">
        <v>17</v>
      </c>
      <c r="B19" s="4"/>
      <c r="C19" s="4"/>
      <c r="D19" s="5"/>
      <c r="E19" s="5"/>
      <c r="F19" s="5"/>
      <c r="G19" s="6"/>
      <c r="H19" s="5"/>
      <c r="I19" s="7"/>
      <c r="J19" s="3"/>
      <c r="K19" s="8"/>
    </row>
    <row r="20" spans="1:11" ht="32.25" customHeight="1" x14ac:dyDescent="0.25">
      <c r="A20" s="3">
        <v>18</v>
      </c>
      <c r="B20" s="4"/>
      <c r="C20" s="4"/>
      <c r="D20" s="5"/>
      <c r="E20" s="5"/>
      <c r="F20" s="5"/>
      <c r="G20" s="6"/>
      <c r="H20" s="5"/>
      <c r="I20" s="7"/>
      <c r="J20" s="3"/>
      <c r="K20" s="8"/>
    </row>
    <row r="21" spans="1:11" ht="32.25" customHeight="1" x14ac:dyDescent="0.25">
      <c r="A21" s="3">
        <v>19</v>
      </c>
      <c r="B21" s="4"/>
      <c r="C21" s="4"/>
      <c r="D21" s="5"/>
      <c r="E21" s="5"/>
      <c r="F21" s="5"/>
      <c r="G21" s="6"/>
      <c r="H21" s="5"/>
      <c r="I21" s="7"/>
      <c r="J21" s="3"/>
      <c r="K21" s="8"/>
    </row>
    <row r="22" spans="1:11" ht="32.25" customHeight="1" x14ac:dyDescent="0.25">
      <c r="A22" s="3">
        <v>20</v>
      </c>
      <c r="B22" s="4"/>
      <c r="C22" s="4"/>
      <c r="D22" s="5"/>
      <c r="E22" s="5"/>
      <c r="F22" s="5"/>
      <c r="G22" s="6"/>
      <c r="H22" s="5"/>
      <c r="I22" s="10"/>
      <c r="J22" s="3"/>
      <c r="K22" s="8">
        <v>2</v>
      </c>
    </row>
    <row r="23" spans="1:11" ht="32.25" customHeight="1" x14ac:dyDescent="0.25">
      <c r="A23" s="3">
        <v>21</v>
      </c>
      <c r="B23" s="4"/>
      <c r="C23" s="4"/>
      <c r="D23" s="5"/>
      <c r="E23" s="5"/>
      <c r="F23" s="5"/>
      <c r="G23" s="6"/>
      <c r="H23" s="5"/>
      <c r="I23" s="7"/>
      <c r="J23" s="3"/>
      <c r="K23" s="8">
        <v>4</v>
      </c>
    </row>
    <row r="24" spans="1:11" ht="32.25" customHeight="1" x14ac:dyDescent="0.25">
      <c r="A24" s="3">
        <v>22</v>
      </c>
      <c r="B24" s="4"/>
      <c r="C24" s="4"/>
      <c r="D24" s="5"/>
      <c r="E24" s="5"/>
      <c r="F24" s="5"/>
      <c r="G24" s="6"/>
      <c r="H24" s="5"/>
      <c r="I24" s="7"/>
      <c r="J24" s="3"/>
      <c r="K24" s="8">
        <v>1</v>
      </c>
    </row>
    <row r="25" spans="1:11" ht="32.25" customHeight="1" x14ac:dyDescent="0.25">
      <c r="A25" s="3">
        <v>23</v>
      </c>
      <c r="B25" s="4"/>
      <c r="C25" s="4"/>
      <c r="D25" s="5"/>
      <c r="E25" s="11"/>
      <c r="F25" s="5"/>
      <c r="G25" s="6"/>
      <c r="H25" s="5"/>
      <c r="I25" s="7"/>
      <c r="J25" s="3"/>
      <c r="K25" s="8">
        <v>2</v>
      </c>
    </row>
    <row r="26" spans="1:11" ht="32.25" customHeight="1" x14ac:dyDescent="0.25">
      <c r="A26" s="3">
        <v>24</v>
      </c>
      <c r="B26" s="4"/>
      <c r="C26" s="4"/>
      <c r="D26" s="5"/>
      <c r="E26" s="5"/>
      <c r="F26" s="5"/>
      <c r="G26" s="6"/>
      <c r="H26" s="5"/>
      <c r="I26" s="10"/>
      <c r="J26" s="3"/>
      <c r="K26" s="8"/>
    </row>
    <row r="27" spans="1:11" ht="32.25" customHeight="1" x14ac:dyDescent="0.25">
      <c r="A27" s="3">
        <v>25</v>
      </c>
      <c r="B27" s="4"/>
      <c r="C27" s="4"/>
      <c r="D27" s="5"/>
      <c r="E27" s="5"/>
      <c r="F27" s="5"/>
      <c r="G27" s="6"/>
      <c r="H27" s="5"/>
      <c r="I27" s="12"/>
      <c r="J27" s="3"/>
      <c r="K27" s="8">
        <v>7</v>
      </c>
    </row>
    <row r="28" spans="1:11" ht="15" x14ac:dyDescent="0.25">
      <c r="A28" s="3">
        <v>26</v>
      </c>
      <c r="B28" s="4"/>
      <c r="C28" s="4"/>
      <c r="D28" s="5"/>
      <c r="E28" s="5"/>
      <c r="F28" s="5"/>
      <c r="G28" s="6"/>
      <c r="H28" s="5"/>
      <c r="I28" s="12"/>
      <c r="J28" s="3"/>
      <c r="K28" s="8">
        <v>7</v>
      </c>
    </row>
    <row r="29" spans="1:11" ht="32.25" customHeight="1" x14ac:dyDescent="0.25">
      <c r="A29" s="3">
        <v>27</v>
      </c>
      <c r="B29" s="4"/>
      <c r="C29" s="4"/>
      <c r="D29" s="5"/>
      <c r="E29" s="5"/>
      <c r="F29" s="5"/>
      <c r="G29" s="6"/>
      <c r="H29" s="5"/>
      <c r="I29" s="12"/>
      <c r="J29" s="3"/>
      <c r="K29" s="8">
        <v>3</v>
      </c>
    </row>
    <row r="30" spans="1:11" ht="32.25" customHeight="1" x14ac:dyDescent="0.25">
      <c r="A30" s="3">
        <v>28</v>
      </c>
      <c r="B30" s="4"/>
      <c r="C30" s="4"/>
      <c r="D30" s="5"/>
      <c r="E30" s="5"/>
      <c r="F30" s="5"/>
      <c r="G30" s="6"/>
      <c r="H30" s="5"/>
      <c r="I30" s="12"/>
      <c r="J30" s="3"/>
      <c r="K30" s="8">
        <v>3</v>
      </c>
    </row>
    <row r="31" spans="1:11" ht="32.25" customHeight="1" x14ac:dyDescent="0.25">
      <c r="A31" s="3">
        <v>29</v>
      </c>
      <c r="B31" s="4"/>
      <c r="C31" s="4"/>
      <c r="D31" s="5"/>
      <c r="E31" s="5"/>
      <c r="F31" s="5"/>
      <c r="G31" s="6"/>
      <c r="H31" s="5"/>
      <c r="I31" s="12"/>
      <c r="J31" s="3"/>
      <c r="K31" s="8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23D74-5E62-41DF-9E48-B9E76BDE414F}">
  <dimension ref="A1:G8"/>
  <sheetViews>
    <sheetView workbookViewId="0">
      <selection activeCell="E3" sqref="E3:E4"/>
    </sheetView>
  </sheetViews>
  <sheetFormatPr defaultRowHeight="15" x14ac:dyDescent="0.25"/>
  <cols>
    <col min="3" max="3" width="22.28515625" bestFit="1" customWidth="1"/>
    <col min="6" max="6" width="84.140625" customWidth="1"/>
    <col min="7" max="7" width="29" bestFit="1" customWidth="1"/>
  </cols>
  <sheetData>
    <row r="1" spans="1:7" x14ac:dyDescent="0.25">
      <c r="A1" s="31" t="s">
        <v>46</v>
      </c>
      <c r="B1" s="32"/>
      <c r="C1" s="32"/>
      <c r="D1" s="32"/>
      <c r="E1" s="32"/>
      <c r="F1" s="32"/>
      <c r="G1" s="32"/>
    </row>
    <row r="2" spans="1:7" ht="24" x14ac:dyDescent="0.25">
      <c r="A2" s="13" t="s">
        <v>11</v>
      </c>
      <c r="B2" s="13" t="s">
        <v>18</v>
      </c>
      <c r="C2" s="13" t="s">
        <v>19</v>
      </c>
      <c r="D2" s="13" t="s">
        <v>36</v>
      </c>
      <c r="E2" s="13" t="s">
        <v>47</v>
      </c>
      <c r="F2" s="13" t="s">
        <v>20</v>
      </c>
      <c r="G2" s="13" t="s">
        <v>21</v>
      </c>
    </row>
    <row r="3" spans="1:7" x14ac:dyDescent="0.25">
      <c r="A3" s="3">
        <v>1</v>
      </c>
      <c r="B3" s="3" t="s">
        <v>45</v>
      </c>
      <c r="C3" s="22" t="s">
        <v>48</v>
      </c>
      <c r="D3" s="15"/>
      <c r="E3" s="19">
        <v>142</v>
      </c>
      <c r="F3" s="14" t="s">
        <v>50</v>
      </c>
      <c r="G3" s="3"/>
    </row>
    <row r="4" spans="1:7" x14ac:dyDescent="0.25">
      <c r="A4" s="3">
        <v>2</v>
      </c>
      <c r="B4" s="3" t="s">
        <v>45</v>
      </c>
      <c r="C4" s="18" t="s">
        <v>49</v>
      </c>
      <c r="D4" s="15"/>
      <c r="E4" s="19">
        <v>86.46</v>
      </c>
      <c r="F4" s="17" t="s">
        <v>51</v>
      </c>
      <c r="G4" s="3"/>
    </row>
    <row r="5" spans="1:7" x14ac:dyDescent="0.25">
      <c r="A5" s="3"/>
      <c r="B5" s="3"/>
      <c r="C5" s="17"/>
      <c r="D5" s="15"/>
      <c r="E5" s="16"/>
      <c r="F5" s="17"/>
      <c r="G5" s="3"/>
    </row>
    <row r="6" spans="1:7" x14ac:dyDescent="0.25">
      <c r="A6" s="3"/>
      <c r="B6" s="3"/>
      <c r="C6" s="14"/>
      <c r="D6" s="15"/>
      <c r="E6" s="16"/>
      <c r="F6" s="17"/>
      <c r="G6" s="3"/>
    </row>
    <row r="7" spans="1:7" x14ac:dyDescent="0.25">
      <c r="A7" s="3"/>
      <c r="B7" s="3"/>
      <c r="C7" s="14"/>
      <c r="D7" s="15"/>
      <c r="E7" s="16"/>
      <c r="F7" s="14"/>
      <c r="G7" s="3"/>
    </row>
    <row r="8" spans="1:7" x14ac:dyDescent="0.25">
      <c r="A8" s="3"/>
      <c r="B8" s="3"/>
      <c r="C8" s="14"/>
      <c r="D8" s="15"/>
      <c r="E8" s="16"/>
      <c r="F8" s="14"/>
      <c r="G8" s="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MONEY REVEIVED</vt:lpstr>
      <vt:lpstr>ACTIVITY EXPENSES</vt:lpstr>
      <vt:lpstr>Other 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PMT-PC</dc:creator>
  <cp:lastModifiedBy>PMT-PC</cp:lastModifiedBy>
  <dcterms:created xsi:type="dcterms:W3CDTF">2026-06-01T04:30:01Z</dcterms:created>
  <dcterms:modified xsi:type="dcterms:W3CDTF">2026-06-22T07:55:13Z</dcterms:modified>
</cp:coreProperties>
</file>